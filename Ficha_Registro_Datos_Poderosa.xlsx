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cha de Registro de Datos" sheetId="1" state="visible" r:id="rId3"/>
    <sheet name="Ficha Técnica del Instrumento" sheetId="2" state="visible" r:id="rId4"/>
    <sheet name="Verificación EEF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<sst xmlns="http://schemas.openxmlformats.org/spreadsheetml/2006/main" count="307" uniqueCount="143">
  <si>
    <t xml:space="preserve">FICHA DE REGISTRO DE DATOS</t>
  </si>
  <si>
    <t xml:space="preserve">Instrumento de recolección de datos — Técnica: Análisis documental</t>
  </si>
  <si>
    <t xml:space="preserve">Investigador(a):</t>
  </si>
  <si>
    <t xml:space="preserve">Eder Cedano B.</t>
  </si>
  <si>
    <t xml:space="preserve">Universidad:</t>
  </si>
  <si>
    <t xml:space="preserve">Universidad Privada del Norte (UPN)</t>
  </si>
  <si>
    <t xml:space="preserve">Título de la investigación:</t>
  </si>
  <si>
    <t xml:space="preserve">Gestión del Capital de Trabajo y su Relación con la Rentabilidad de Compañía Minera Poderosa S.A., 2020-2025</t>
  </si>
  <si>
    <t xml:space="preserve">Empresa analizada:</t>
  </si>
  <si>
    <t xml:space="preserve">Compañía Minera Poderosa S.A.</t>
  </si>
  <si>
    <t xml:space="preserve">Periodo de análisis:</t>
  </si>
  <si>
    <t xml:space="preserve">2020 - 2025 (anual de cada ejercicio)</t>
  </si>
  <si>
    <t xml:space="preserve">Moneda / unidad:</t>
  </si>
  <si>
    <t xml:space="preserve">Soles (S/), expresadas en miles (S/000)</t>
  </si>
  <si>
    <t xml:space="preserve">Fuente de información:</t>
  </si>
  <si>
    <t xml:space="preserve">Estados Financieros Separados Auditados de Compañía Minera Poderosa S.A. (SMV)</t>
  </si>
  <si>
    <t xml:space="preserve">Criterio de cálculo:</t>
  </si>
  <si>
    <t xml:space="preserve">Saldo PROMEDIO = (saldo de cierre del año anterior + saldo de cierre del año actual) / 2, conforme a Ross, Westerfield &amp; Jordan (2019). Base de 360 días.</t>
  </si>
  <si>
    <t xml:space="preserve">Diseño metodológico:</t>
  </si>
  <si>
    <t xml:space="preserve">Correlacional, no experimental, longitudinal (Hernández-Sampieri &amp; Mendoza, 2018)</t>
  </si>
  <si>
    <t xml:space="preserve">Leyenda:  Celdas amarillas = dato extraído directamente de los Estados Financieros Auditados   |   Celdas verdes = indicador calculado automáticamente con fórmula (no editar)</t>
  </si>
  <si>
    <t xml:space="preserve">VARIABLE INDEPENDIENTE: GESTIÓN DEL CAPITAL DE TRABAJO</t>
  </si>
  <si>
    <t xml:space="preserve">VARIABLE DEPENDIENTE: RENTABILIDAD</t>
  </si>
  <si>
    <t xml:space="preserve">Año</t>
  </si>
  <si>
    <t xml:space="preserve">Inventario
saldo anterior</t>
  </si>
  <si>
    <t xml:space="preserve">Inventario
saldo actual</t>
  </si>
  <si>
    <t xml:space="preserve">Inventario
PROMEDIO</t>
  </si>
  <si>
    <t xml:space="preserve">CxC comerciales
saldo anterior</t>
  </si>
  <si>
    <t xml:space="preserve">Otras CxC
saldo anterior</t>
  </si>
  <si>
    <t xml:space="preserve">CxC comerciales
saldo actual</t>
  </si>
  <si>
    <t xml:space="preserve">Otras CxC
saldo actual</t>
  </si>
  <si>
    <t xml:space="preserve">CxC totales
PROMEDIO</t>
  </si>
  <si>
    <t xml:space="preserve">CxP comerciales
saldo anterior</t>
  </si>
  <si>
    <t xml:space="preserve">CxP comerciales
saldo actual</t>
  </si>
  <si>
    <t xml:space="preserve">CxP
PROMEDIO</t>
  </si>
  <si>
    <t xml:space="preserve">Costo de
ventas (año)</t>
  </si>
  <si>
    <t xml:space="preserve">Ventas
netas (año)</t>
  </si>
  <si>
    <t xml:space="preserve">PPI
(días)</t>
  </si>
  <si>
    <t xml:space="preserve">PPC
(días)</t>
  </si>
  <si>
    <t xml:space="preserve">PPP
(días)</t>
  </si>
  <si>
    <t xml:space="preserve">CCE
(días)</t>
  </si>
  <si>
    <t xml:space="preserve">Utilidad
neta (año)</t>
  </si>
  <si>
    <t xml:space="preserve">Activo total
(cierre)</t>
  </si>
  <si>
    <t xml:space="preserve">Patrimonio
(cierre)</t>
  </si>
  <si>
    <t xml:space="preserve">ROA
(%)</t>
  </si>
  <si>
    <t xml:space="preserve">ROE
(%)</t>
  </si>
  <si>
    <t xml:space="preserve">S/000</t>
  </si>
  <si>
    <t xml:space="preserve">Fuente: Estados Financieros Separados Auditados de Compañía Minera Poderosa S.A. (SMV), cifras de cierre de cada ejercicio tal como se reportaron originalmente. Saldos de apertura de 2020 (cierre de 2019): columna 2019 del Estado Separado de Situación Financiera del ejercicio 2020. Los estados de 2023 y 2025 reexpresaron dos saldos comparativos (2022 y 2024); véase la hoja "Verificación EEFF". Archivo base: Poderosa_Estados_Financieros_2020-2025.xlsx.</t>
  </si>
  <si>
    <t xml:space="preserve">Fórmulas aplicadas (base 360 días)</t>
  </si>
  <si>
    <t xml:space="preserve">PPI = (Inventario promedio / Costo de ventas) x 360</t>
  </si>
  <si>
    <t xml:space="preserve">PPC = (Cuentas por cobrar totales promedio [comerciales + otras] / Ventas netas) x 360</t>
  </si>
  <si>
    <t xml:space="preserve">PPP = (Cuentas por pagar comerciales promedio / Costo de ventas) x 360</t>
  </si>
  <si>
    <t xml:space="preserve">CCE (Ciclo de Conversión de Efectivo) = PPI + PPC - PPP</t>
  </si>
  <si>
    <t xml:space="preserve">ROA = Utilidad neta / Activo total (saldo de cierre)</t>
  </si>
  <si>
    <t xml:space="preserve">ROE = Utilidad neta / Patrimonio (saldo de cierre)</t>
  </si>
  <si>
    <t xml:space="preserve">FICHA TÉCNICA DEL INSTRUMENTO</t>
  </si>
  <si>
    <t xml:space="preserve">Nombre del instrumento</t>
  </si>
  <si>
    <t xml:space="preserve">Ficha de registro de datos (ficha de análisis documental)</t>
  </si>
  <si>
    <t xml:space="preserve">Técnica asociada</t>
  </si>
  <si>
    <t xml:space="preserve">Análisis documental</t>
  </si>
  <si>
    <t xml:space="preserve">Autor / marco metodológico</t>
  </si>
  <si>
    <t xml:space="preserve">Diseño de investigación: Hernández-Sampieri &amp; Mendoza (2018). Formato de la ficha de registro documental: Ñaupas Paitán et al. (2018) y Valderrama Mendoza (2014). Criterio de cálculo de saldos promedio: Ross, Westerfield &amp; Jordan (2019).</t>
  </si>
  <si>
    <t xml:space="preserve">Objetivo</t>
  </si>
  <si>
    <t xml:space="preserve">Registrar de forma estructurada los datos contables extraídos de los Estados Financieros Auditados de Compañía Minera Poderosa S.A. (2020-2025) para el cálculo de los indicadores de gestión del capital de trabajo (PPI, PPC, PPP, CCE) y de rentabilidad (ROA, ROE).</t>
  </si>
  <si>
    <t xml:space="preserve">Población / unidad de análisis</t>
  </si>
  <si>
    <t xml:space="preserve">Estados Financieros Separados Auditados anuales de Compañía Minera Poderosa S.A., periodo 2020-2025</t>
  </si>
  <si>
    <t xml:space="preserve">Fuente de los datos</t>
  </si>
  <si>
    <t xml:space="preserve">Portal institucional de la Superintendencia del Mercado de Valores (SMV)</t>
  </si>
  <si>
    <t xml:space="preserve">Variables que registra</t>
  </si>
  <si>
    <t xml:space="preserve">Variable independiente: Gestión del capital de trabajo (PPI, PPC, PPP, CCE)
Variable dependiente: Rentabilidad (ROA, ROE)</t>
  </si>
  <si>
    <t xml:space="preserve">Criterio de cálculo</t>
  </si>
  <si>
    <t xml:space="preserve">Saldo PROMEDIO = (saldo de cierre del año anterior + saldo de cierre del año actual) / 2, base de 360 días. Existe un criterio alternativo de saldo de cierre (sin promediar); se optó por el criterio de saldo promedio por ser el estándar en la literatura de gestión financiera.</t>
  </si>
  <si>
    <t xml:space="preserve">Validez</t>
  </si>
  <si>
    <t xml:space="preserve">Sin juicio de expertos: el instrumento registra datos secundarios y no es una escala de opinión. Validez de contenido sustentada en (a) indicadores con fórmulas estandarizadas de uso consolidado (Ross et al., 2019; Gitman &amp; Zutter, 2016; Van Horne &amp; Wachowicz, 2010); (b) estructura de la ficha según Ñaupas Paitán et al. (2018) y Valderrama Mendoza (2014); (c) datos tomados de estados financieros auditados y publicados en la SMV; y (d) revisión y aprobación de la ficha por la docente asesora antes del levantamiento de datos.</t>
  </si>
  <si>
    <t xml:space="preserve">Confiabilidad</t>
  </si>
  <si>
    <t xml:space="preserve">No aplica cálculo de coeficiente (Alfa de Cronbach, KR-20, etc.) al tratarse de datos secundarios de fuente documental oficial (SMV), no de un instrumento de medición psicométrica</t>
  </si>
  <si>
    <t xml:space="preserve">Forma de aplicación</t>
  </si>
  <si>
    <t xml:space="preserve">Registro manual, un formulario por año/periodo, a partir de la lectura directa del Estado de Situación Financiera y el Estado de Resultados</t>
  </si>
  <si>
    <t xml:space="preserve">VERIFICACIÓN DE LA FICHA CONTRA LOS ESTADOS FINANCIEROS SEPARADOS AUDITADOS</t>
  </si>
  <si>
    <t xml:space="preserve">Azul = cifra copiada del estado financiero auditado. Negro = fórmula. "Ficha" toma el valor de la hoja "Ficha de Registro de Datos". Páginas = número de página del archivo PDF. Cifras en S/ miles.</t>
  </si>
  <si>
    <t xml:space="preserve">Partida</t>
  </si>
  <si>
    <t xml:space="preserve">Ficha</t>
  </si>
  <si>
    <t xml:space="preserve">Estado auditado</t>
  </si>
  <si>
    <t xml:space="preserve">Diferencia</t>
  </si>
  <si>
    <t xml:space="preserve">Estado / página del PDF</t>
  </si>
  <si>
    <t xml:space="preserve">Columna usada</t>
  </si>
  <si>
    <t xml:space="preserve">Inventarios (cierre)</t>
  </si>
  <si>
    <t xml:space="preserve">Estado de situación financiera, p. 118 de memoria-2020.pdf</t>
  </si>
  <si>
    <t xml:space="preserve">2020 (año corriente)</t>
  </si>
  <si>
    <t xml:space="preserve">Cuentas por cobrar comerciales (cierre)</t>
  </si>
  <si>
    <t xml:space="preserve">Otras cuentas por cobrar (cierre)</t>
  </si>
  <si>
    <t xml:space="preserve">Cuentas por pagar comerciales (cierre)</t>
  </si>
  <si>
    <t xml:space="preserve">Costo de ventas</t>
  </si>
  <si>
    <t xml:space="preserve">Estado de resultados, p. 118 de memoria-2020.pdf</t>
  </si>
  <si>
    <t xml:space="preserve">Ingresos de actividades ordinarias</t>
  </si>
  <si>
    <t xml:space="preserve">Utilidad neta del período</t>
  </si>
  <si>
    <t xml:space="preserve">Total activo (cierre)</t>
  </si>
  <si>
    <t xml:space="preserve">Total patrimonio (cierre)</t>
  </si>
  <si>
    <t xml:space="preserve">Estado de situación financiera, p. 4 de estados-financieros-2021.pdf</t>
  </si>
  <si>
    <t xml:space="preserve">2021 (año corriente)</t>
  </si>
  <si>
    <t xml:space="preserve">Estado de resultados, p. 4 de estados-financieros-2021.pdf</t>
  </si>
  <si>
    <t xml:space="preserve">Estado de situación financiera, p. 7 de estados-financieros-2022.pdf</t>
  </si>
  <si>
    <t xml:space="preserve">2022 (año corriente)</t>
  </si>
  <si>
    <t xml:space="preserve">Estado de resultados, p. 8 de estados-financieros-2022.pdf</t>
  </si>
  <si>
    <t xml:space="preserve">Estado de situación financiera, p. 7 de EEFF_Separados_Auditados_Poderosa_2023.pdf</t>
  </si>
  <si>
    <t xml:space="preserve">2023 (año corriente)</t>
  </si>
  <si>
    <t xml:space="preserve">Estado de resultados, p. 8 de EEFF_Separados_Auditados_Poderosa_2023.pdf</t>
  </si>
  <si>
    <t xml:space="preserve">Estado de situación financiera, p. 7 de EEFF_Separados_Auditados_Poderosa_2024.pdf</t>
  </si>
  <si>
    <t xml:space="preserve">2024 (año corriente)</t>
  </si>
  <si>
    <t xml:space="preserve">Estado de resultados, p. 8 de EEFF_Separados_Auditados_Poderosa_2024.pdf</t>
  </si>
  <si>
    <t xml:space="preserve">Estado de situación financiera, p. 8 de EEFF_Separados_Auditados_Poderosa_2025.pdf</t>
  </si>
  <si>
    <t xml:space="preserve">2025 (año corriente)</t>
  </si>
  <si>
    <t xml:space="preserve">Estado de resultados, p. 9 de EEFF_Separados_Auditados_Poderosa_2025.pdf</t>
  </si>
  <si>
    <t xml:space="preserve">Inventarios 2019 (apertura)</t>
  </si>
  <si>
    <t xml:space="preserve">Estado de situación financiera 2020, p. 118 de memoria-2020.pdf</t>
  </si>
  <si>
    <t xml:space="preserve">2019 (comparativo de 2020)</t>
  </si>
  <si>
    <t xml:space="preserve">Cuentas por cobrar comerciales 2019 (apertura)</t>
  </si>
  <si>
    <t xml:space="preserve">Otras cuentas por cobrar 2019 (apertura)</t>
  </si>
  <si>
    <t xml:space="preserve">Cuentas por pagar comerciales 2019 (apertura)</t>
  </si>
  <si>
    <t xml:space="preserve">Total de diferencias</t>
  </si>
  <si>
    <t xml:space="preserve">SALDOS COMPARATIVOS REEXPRESADOS EN ESTADOS POSTERIORES</t>
  </si>
  <si>
    <t xml:space="preserve">Original (ficha)</t>
  </si>
  <si>
    <t xml:space="preserve">Comparativo reexpresado</t>
  </si>
  <si>
    <t xml:space="preserve">Dónde aparece</t>
  </si>
  <si>
    <t xml:space="preserve">Explicación del estado</t>
  </si>
  <si>
    <t xml:space="preserve">Cuentas por pagar comerciales</t>
  </si>
  <si>
    <t xml:space="preserve">Estado de 2023, p. 7 (columna 2022) y nota 3.Y, p. 35</t>
  </si>
  <si>
    <t xml:space="preserve">Reclasificación de S/ 56,761 miles desde "Otras cuentas por pagar": la Compañía determinó que correspondían a cuentas por pagar comerciales.</t>
  </si>
  <si>
    <t xml:space="preserve">Otras cuentas por cobrar (corriente)</t>
  </si>
  <si>
    <t xml:space="preserve">Estado de 2025, p. 8 (columna 2024)</t>
  </si>
  <si>
    <t xml:space="preserve">S/ 5,415 miles pasaron al rubro "Activo por impuesto a las ganancias" (antes crédito por impuesto a la renta en otras cuentas por cobrar).</t>
  </si>
  <si>
    <t xml:space="preserve">INDICADORES RECALCULADOS CON LOS COMPARATIVOS REEXPRESADOS (solo para contraste; no reemplazan los de la ficha)</t>
  </si>
  <si>
    <t xml:space="preserve">Indicador</t>
  </si>
  <si>
    <t xml:space="preserve">Reexpresado</t>
  </si>
  <si>
    <t xml:space="preserve">Fórmula</t>
  </si>
  <si>
    <t xml:space="preserve">PPP (días)</t>
  </si>
  <si>
    <t xml:space="preserve">(CxP comerciales 2022 reexpresado + 2023) / 2 / costo de ventas × 360</t>
  </si>
  <si>
    <t xml:space="preserve">CCE (días)</t>
  </si>
  <si>
    <t xml:space="preserve">PPI + PPC − PPP reexpresado</t>
  </si>
  <si>
    <t xml:space="preserve">PPC (días)</t>
  </si>
  <si>
    <t xml:space="preserve">(CxC comerciales 2024 + otras CxC 2024 reexpresado + CxC totales 2025) / 2 / ventas × 360</t>
  </si>
  <si>
    <t xml:space="preserve">PPI + PPC reexpresado − PPP</t>
  </si>
  <si>
    <t xml:space="preserve">Lectura: con los comparativos reexpresados cambian el PPP y el CCE de 2023 (+7.71 y −7.71 días) y, levemente, el PPC y el CCE de 2025. Las correlaciones cambian poco y las decisiones de significancia al 5 % no cambian (véase el apartado 3.7 de la tesis).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</si>
</sst>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0.00"/>
    <numFmt numFmtId="168" formatCode="0.00%"/>
    <numFmt numFmtId="169" formatCode="#,##0;\-#,##0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i val="true"/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i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i val="true"/>
      <sz val="8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sz val="8"/>
      <name val="Arial"/>
      <family val="2"/>
      <charset val="1"/>
    </font>
    <font>
      <sz val="9"/>
      <name val="Arial"/>
      <family val="2"/>
      <charset val="1"/>
    </font>
    <font>
      <i val="true"/>
      <sz val="9"/>
      <color rgb="FFC00000"/>
      <name val="Arial"/>
      <family val="2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6" tint="0.7999"/>
        <bgColor rgb="FFE2EFDA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EBF1DE"/>
      </patternFill>
    </fill>
    <fill>
      <patternFill patternType="solid">
        <fgColor rgb="FFE2EFDA"/>
        <bgColor rgb="FFEBF1DE"/>
      </patternFill>
    </fill>
    <fill>
      <patternFill patternType="solid">
        <fgColor rgb="FFD9D9D9"/>
        <bgColor rgb="FFD9E2F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1D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4" activeCellId="0" sqref="G44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1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1" min="10" style="1" width="11"/>
    <col collapsed="false" customWidth="true" hidden="false" outlineLevel="0" max="14" min="12" style="1" width="12"/>
    <col collapsed="false" customWidth="true" hidden="false" outlineLevel="0" max="18" min="15" style="1" width="9"/>
    <col collapsed="false" customWidth="true" hidden="false" outlineLevel="0" max="21" min="19" style="1" width="12"/>
    <col collapsed="false" customWidth="true" hidden="false" outlineLevel="0" max="23" min="22" style="1" width="9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customFormat="false" ht="15.75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customFormat="false" ht="15.75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customFormat="false" ht="27.75" hidden="false" customHeight="true" outlineLevel="0" collapsed="false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customFormat="false" ht="27.75" hidden="false" customHeight="true" outlineLevel="0" collapsed="false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customFormat="false" ht="15.75" hidden="false" customHeight="true" outlineLevel="0" collapsed="false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customFormat="false" ht="15.75" hidden="false" customHeight="true" outlineLevel="0" collapsed="false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customFormat="false" ht="27.75" hidden="false" customHeight="true" outlineLevel="0" collapsed="false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customFormat="false" ht="27.75" hidden="false" customHeight="true" outlineLevel="0" collapsed="false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customFormat="false" ht="15.75" hidden="false" customHeight="true" outlineLevel="0" collapsed="false">
      <c r="A12" s="4" t="s">
        <v>18</v>
      </c>
      <c r="B12" s="5" t="s">
        <v>19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4" customFormat="false" ht="15.75" hidden="false" customHeight="true" outlineLevel="0" collapsed="false">
      <c r="A14" s="6" t="s">
        <v>20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6" customFormat="false" ht="15.75" hidden="false" customHeight="true" outlineLevel="0" collapsed="false">
      <c r="A16" s="7" t="s">
        <v>21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 t="s">
        <v>22</v>
      </c>
      <c r="T16" s="7"/>
      <c r="U16" s="7"/>
      <c r="V16" s="7"/>
      <c r="W16" s="7"/>
    </row>
    <row r="17" customFormat="false" ht="33.75" hidden="false" customHeight="true" outlineLevel="0" collapsed="false">
      <c r="A17" s="8" t="s">
        <v>23</v>
      </c>
      <c r="B17" s="8" t="s">
        <v>24</v>
      </c>
      <c r="C17" s="8" t="s">
        <v>25</v>
      </c>
      <c r="D17" s="8" t="s">
        <v>26</v>
      </c>
      <c r="E17" s="8" t="s">
        <v>27</v>
      </c>
      <c r="F17" s="8" t="s">
        <v>28</v>
      </c>
      <c r="G17" s="8" t="s">
        <v>29</v>
      </c>
      <c r="H17" s="8" t="s">
        <v>30</v>
      </c>
      <c r="I17" s="8" t="s">
        <v>31</v>
      </c>
      <c r="J17" s="8" t="s">
        <v>32</v>
      </c>
      <c r="K17" s="8" t="s">
        <v>33</v>
      </c>
      <c r="L17" s="8" t="s">
        <v>34</v>
      </c>
      <c r="M17" s="8" t="s">
        <v>35</v>
      </c>
      <c r="N17" s="8" t="s">
        <v>36</v>
      </c>
      <c r="O17" s="8" t="s">
        <v>37</v>
      </c>
      <c r="P17" s="8" t="s">
        <v>38</v>
      </c>
      <c r="Q17" s="8" t="s">
        <v>39</v>
      </c>
      <c r="R17" s="8" t="s">
        <v>40</v>
      </c>
      <c r="S17" s="8" t="s">
        <v>41</v>
      </c>
      <c r="T17" s="8" t="s">
        <v>42</v>
      </c>
      <c r="U17" s="8" t="s">
        <v>43</v>
      </c>
      <c r="V17" s="8" t="s">
        <v>44</v>
      </c>
      <c r="W17" s="8" t="s">
        <v>45</v>
      </c>
    </row>
    <row r="18" customFormat="false" ht="12" hidden="false" customHeight="true" outlineLevel="0" collapsed="false">
      <c r="A18" s="9"/>
      <c r="B18" s="9" t="s">
        <v>46</v>
      </c>
      <c r="C18" s="9" t="s">
        <v>46</v>
      </c>
      <c r="D18" s="9" t="s">
        <v>46</v>
      </c>
      <c r="E18" s="9" t="s">
        <v>46</v>
      </c>
      <c r="F18" s="9" t="s">
        <v>46</v>
      </c>
      <c r="G18" s="9" t="s">
        <v>46</v>
      </c>
      <c r="H18" s="9" t="s">
        <v>46</v>
      </c>
      <c r="I18" s="9" t="s">
        <v>46</v>
      </c>
      <c r="J18" s="9" t="s">
        <v>46</v>
      </c>
      <c r="K18" s="9" t="s">
        <v>46</v>
      </c>
      <c r="L18" s="9" t="s">
        <v>46</v>
      </c>
      <c r="M18" s="9" t="s">
        <v>46</v>
      </c>
      <c r="N18" s="9" t="s">
        <v>46</v>
      </c>
      <c r="O18" s="9"/>
      <c r="P18" s="9"/>
      <c r="Q18" s="9"/>
      <c r="R18" s="9"/>
      <c r="S18" s="9" t="s">
        <v>46</v>
      </c>
      <c r="T18" s="9" t="s">
        <v>46</v>
      </c>
      <c r="U18" s="9" t="s">
        <v>46</v>
      </c>
      <c r="V18" s="9"/>
      <c r="W18" s="9"/>
    </row>
    <row r="19" customFormat="false" ht="15.75" hidden="false" customHeight="true" outlineLevel="0" collapsed="false">
      <c r="A19" s="10" t="n">
        <v>2020</v>
      </c>
      <c r="B19" s="11" t="n">
        <v>44353</v>
      </c>
      <c r="C19" s="11" t="n">
        <v>50084</v>
      </c>
      <c r="D19" s="12" t="n">
        <f aca="false">AVERAGE(B19,C19)</f>
        <v>47218.5</v>
      </c>
      <c r="E19" s="11" t="n">
        <v>9622</v>
      </c>
      <c r="F19" s="11" t="n">
        <v>23718</v>
      </c>
      <c r="G19" s="11" t="n">
        <v>12787</v>
      </c>
      <c r="H19" s="11" t="n">
        <v>16688</v>
      </c>
      <c r="I19" s="12" t="n">
        <f aca="false">AVERAGE(E19+F19,G19+H19)</f>
        <v>31407.5</v>
      </c>
      <c r="J19" s="11" t="n">
        <v>70981</v>
      </c>
      <c r="K19" s="11" t="n">
        <v>85609</v>
      </c>
      <c r="L19" s="12" t="n">
        <f aca="false">AVERAGE(J19,K19)</f>
        <v>78295</v>
      </c>
      <c r="M19" s="11" t="n">
        <v>866319</v>
      </c>
      <c r="N19" s="11" t="n">
        <v>1663261</v>
      </c>
      <c r="O19" s="13" t="n">
        <f aca="false">IFERROR(D19/M19*360,"-")</f>
        <v>19.6217097858872</v>
      </c>
      <c r="P19" s="13" t="n">
        <f aca="false">IFERROR(I19/N19*360,"-")</f>
        <v>6.797910851033</v>
      </c>
      <c r="Q19" s="13" t="n">
        <f aca="false">IFERROR(L19/M19*360,"-")</f>
        <v>32.5355902386996</v>
      </c>
      <c r="R19" s="13" t="n">
        <f aca="false">O19+P19-Q19</f>
        <v>-6.11596960177941</v>
      </c>
      <c r="S19" s="11" t="n">
        <v>385559</v>
      </c>
      <c r="T19" s="11" t="n">
        <v>1708321</v>
      </c>
      <c r="U19" s="11" t="n">
        <v>1196378</v>
      </c>
      <c r="V19" s="14" t="n">
        <f aca="false">IFERROR(S19/T19,"-")</f>
        <v>0.225694702576389</v>
      </c>
      <c r="W19" s="14" t="n">
        <f aca="false">IFERROR(S19/U19,"-")</f>
        <v>0.322271890656632</v>
      </c>
    </row>
    <row r="20" customFormat="false" ht="15.75" hidden="false" customHeight="true" outlineLevel="0" collapsed="false">
      <c r="A20" s="10" t="n">
        <v>2021</v>
      </c>
      <c r="B20" s="11" t="n">
        <v>50084</v>
      </c>
      <c r="C20" s="11" t="n">
        <v>59856</v>
      </c>
      <c r="D20" s="12" t="n">
        <f aca="false">AVERAGE(B20,C20)</f>
        <v>54970</v>
      </c>
      <c r="E20" s="11" t="n">
        <v>12787</v>
      </c>
      <c r="F20" s="11" t="n">
        <v>16688</v>
      </c>
      <c r="G20" s="11" t="n">
        <v>10183</v>
      </c>
      <c r="H20" s="11" t="n">
        <v>16592</v>
      </c>
      <c r="I20" s="12" t="n">
        <f aca="false">AVERAGE(E20+F20,G20+H20)</f>
        <v>28125</v>
      </c>
      <c r="J20" s="11" t="n">
        <v>85609</v>
      </c>
      <c r="K20" s="11" t="n">
        <v>86042</v>
      </c>
      <c r="L20" s="12" t="n">
        <f aca="false">AVERAGE(J20,K20)</f>
        <v>85825.5</v>
      </c>
      <c r="M20" s="11" t="n">
        <v>1101480</v>
      </c>
      <c r="N20" s="11" t="n">
        <v>2102747</v>
      </c>
      <c r="O20" s="13" t="n">
        <f aca="false">IFERROR(D20/M20*360,"-")</f>
        <v>17.9660093692123</v>
      </c>
      <c r="P20" s="13" t="n">
        <f aca="false">IFERROR(I20/N20*360,"-")</f>
        <v>4.81512992290561</v>
      </c>
      <c r="Q20" s="13" t="n">
        <f aca="false">IFERROR(L20/M20*360,"-")</f>
        <v>28.0506046410284</v>
      </c>
      <c r="R20" s="13" t="n">
        <f aca="false">O20+P20-Q20</f>
        <v>-5.26946534891049</v>
      </c>
      <c r="S20" s="11" t="n">
        <v>552792</v>
      </c>
      <c r="T20" s="11" t="n">
        <v>2072248</v>
      </c>
      <c r="U20" s="11" t="n">
        <v>1517920</v>
      </c>
      <c r="V20" s="14" t="n">
        <f aca="false">IFERROR(S20/T20,"-")</f>
        <v>0.266759577039042</v>
      </c>
      <c r="W20" s="14" t="n">
        <f aca="false">IFERROR(S20/U20,"-")</f>
        <v>0.364177295246126</v>
      </c>
    </row>
    <row r="21" customFormat="false" ht="15.75" hidden="false" customHeight="true" outlineLevel="0" collapsed="false">
      <c r="A21" s="10" t="n">
        <v>2022</v>
      </c>
      <c r="B21" s="11" t="n">
        <v>59856</v>
      </c>
      <c r="C21" s="11" t="n">
        <v>70544</v>
      </c>
      <c r="D21" s="12" t="n">
        <f aca="false">AVERAGE(B21,C21)</f>
        <v>65200</v>
      </c>
      <c r="E21" s="11" t="n">
        <v>10183</v>
      </c>
      <c r="F21" s="11" t="n">
        <v>16592</v>
      </c>
      <c r="G21" s="11" t="n">
        <v>12630</v>
      </c>
      <c r="H21" s="11" t="n">
        <v>62109</v>
      </c>
      <c r="I21" s="12" t="n">
        <f aca="false">AVERAGE(E21+F21,G21+H21)</f>
        <v>50757</v>
      </c>
      <c r="J21" s="11" t="n">
        <v>86042</v>
      </c>
      <c r="K21" s="11" t="n">
        <v>103394</v>
      </c>
      <c r="L21" s="12" t="n">
        <f aca="false">AVERAGE(J21,K21)</f>
        <v>94718</v>
      </c>
      <c r="M21" s="11" t="n">
        <v>1205403</v>
      </c>
      <c r="N21" s="11" t="n">
        <v>2090683</v>
      </c>
      <c r="O21" s="13" t="n">
        <f aca="false">IFERROR(D21/M21*360,"-")</f>
        <v>19.4723258528476</v>
      </c>
      <c r="P21" s="13" t="n">
        <f aca="false">IFERROR(I21/N21*360,"-")</f>
        <v>8.73997636179182</v>
      </c>
      <c r="Q21" s="13" t="n">
        <f aca="false">IFERROR(L21/M21*360,"-")</f>
        <v>28.2880331308284</v>
      </c>
      <c r="R21" s="13" t="n">
        <f aca="false">O21+P21-Q21</f>
        <v>-0.0757309161890731</v>
      </c>
      <c r="S21" s="11" t="n">
        <v>407345</v>
      </c>
      <c r="T21" s="11" t="n">
        <v>2100877</v>
      </c>
      <c r="U21" s="11" t="n">
        <v>1594982</v>
      </c>
      <c r="V21" s="14" t="n">
        <f aca="false">IFERROR(S21/T21,"-")</f>
        <v>0.193892836182223</v>
      </c>
      <c r="W21" s="14" t="n">
        <f aca="false">IFERROR(S21/U21,"-")</f>
        <v>0.255391596895764</v>
      </c>
    </row>
    <row r="22" customFormat="false" ht="15.75" hidden="false" customHeight="true" outlineLevel="0" collapsed="false">
      <c r="A22" s="10" t="n">
        <v>2023</v>
      </c>
      <c r="B22" s="11" t="n">
        <v>70544</v>
      </c>
      <c r="C22" s="11" t="n">
        <v>68270</v>
      </c>
      <c r="D22" s="12" t="n">
        <f aca="false">AVERAGE(B22,C22)</f>
        <v>69407</v>
      </c>
      <c r="E22" s="11" t="n">
        <v>12630</v>
      </c>
      <c r="F22" s="11" t="n">
        <v>62109</v>
      </c>
      <c r="G22" s="11" t="n">
        <v>14628</v>
      </c>
      <c r="H22" s="11" t="n">
        <v>87810</v>
      </c>
      <c r="I22" s="12" t="n">
        <f aca="false">AVERAGE(E22+F22,G22+H22)</f>
        <v>88588.5</v>
      </c>
      <c r="J22" s="11" t="n">
        <v>103394</v>
      </c>
      <c r="K22" s="11" t="n">
        <v>210432</v>
      </c>
      <c r="L22" s="12" t="n">
        <f aca="false">AVERAGE(J22,K22)</f>
        <v>156913</v>
      </c>
      <c r="M22" s="11" t="n">
        <v>1324474</v>
      </c>
      <c r="N22" s="11" t="n">
        <v>1992610</v>
      </c>
      <c r="O22" s="13" t="n">
        <f aca="false">IFERROR(D22/M22*360,"-")</f>
        <v>18.8652400877631</v>
      </c>
      <c r="P22" s="13" t="n">
        <f aca="false">IFERROR(I22/N22*360,"-")</f>
        <v>16.0050687289535</v>
      </c>
      <c r="Q22" s="13" t="n">
        <f aca="false">IFERROR(L22/M22*360,"-")</f>
        <v>42.649897242226</v>
      </c>
      <c r="R22" s="13" t="n">
        <f aca="false">O22+P22-Q22</f>
        <v>-7.77958842550935</v>
      </c>
      <c r="S22" s="11" t="n">
        <v>295664</v>
      </c>
      <c r="T22" s="11" t="n">
        <v>2327495</v>
      </c>
      <c r="U22" s="11" t="n">
        <v>1645610</v>
      </c>
      <c r="V22" s="14" t="n">
        <f aca="false">IFERROR(S22/T22,"-")</f>
        <v>0.127030992547782</v>
      </c>
      <c r="W22" s="14" t="n">
        <f aca="false">IFERROR(S22/U22,"-")</f>
        <v>0.179668329677141</v>
      </c>
    </row>
    <row r="23" customFormat="false" ht="15.75" hidden="false" customHeight="true" outlineLevel="0" collapsed="false">
      <c r="A23" s="10" t="n">
        <v>2024</v>
      </c>
      <c r="B23" s="11" t="n">
        <v>68270</v>
      </c>
      <c r="C23" s="11" t="n">
        <v>97619</v>
      </c>
      <c r="D23" s="12" t="n">
        <f aca="false">AVERAGE(B23,C23)</f>
        <v>82944.5</v>
      </c>
      <c r="E23" s="11" t="n">
        <v>14628</v>
      </c>
      <c r="F23" s="11" t="n">
        <v>87810</v>
      </c>
      <c r="G23" s="11" t="n">
        <v>19293</v>
      </c>
      <c r="H23" s="11" t="n">
        <v>104314</v>
      </c>
      <c r="I23" s="12" t="n">
        <f aca="false">AVERAGE(E23+F23,G23+H23)</f>
        <v>113022.5</v>
      </c>
      <c r="J23" s="11" t="n">
        <v>210432</v>
      </c>
      <c r="K23" s="11" t="n">
        <v>221961</v>
      </c>
      <c r="L23" s="12" t="n">
        <f aca="false">AVERAGE(J23,K23)</f>
        <v>216196.5</v>
      </c>
      <c r="M23" s="11" t="n">
        <v>1708130</v>
      </c>
      <c r="N23" s="11" t="n">
        <v>2624541</v>
      </c>
      <c r="O23" s="13" t="n">
        <f aca="false">IFERROR(D23/M23*360,"-")</f>
        <v>17.4811167768261</v>
      </c>
      <c r="P23" s="13" t="n">
        <f aca="false">IFERROR(I23/N23*360,"-")</f>
        <v>15.5029393711129</v>
      </c>
      <c r="Q23" s="13" t="n">
        <f aca="false">IFERROR(L23/M23*360,"-")</f>
        <v>45.5648808931405</v>
      </c>
      <c r="R23" s="13" t="n">
        <f aca="false">O23+P23-Q23</f>
        <v>-12.5808247452014</v>
      </c>
      <c r="S23" s="11" t="n">
        <v>415128</v>
      </c>
      <c r="T23" s="11" t="n">
        <v>2542791</v>
      </c>
      <c r="U23" s="11" t="n">
        <v>1883522</v>
      </c>
      <c r="V23" s="14" t="n">
        <f aca="false">IFERROR(S23/T23,"-")</f>
        <v>0.16325683078161</v>
      </c>
      <c r="W23" s="14" t="n">
        <f aca="false">IFERROR(S23/U23,"-")</f>
        <v>0.220399867907038</v>
      </c>
    </row>
    <row r="24" customFormat="false" ht="15.75" hidden="false" customHeight="true" outlineLevel="0" collapsed="false">
      <c r="A24" s="10" t="n">
        <v>2025</v>
      </c>
      <c r="B24" s="11" t="n">
        <v>97619</v>
      </c>
      <c r="C24" s="11" t="n">
        <v>102859</v>
      </c>
      <c r="D24" s="12" t="n">
        <f aca="false">AVERAGE(B24,C24)</f>
        <v>100239</v>
      </c>
      <c r="E24" s="11" t="n">
        <v>19293</v>
      </c>
      <c r="F24" s="11" t="n">
        <v>104314</v>
      </c>
      <c r="G24" s="11" t="n">
        <v>34281</v>
      </c>
      <c r="H24" s="11" t="n">
        <v>83432</v>
      </c>
      <c r="I24" s="12" t="n">
        <f aca="false">AVERAGE(E24+F24,G24+H24)</f>
        <v>120660</v>
      </c>
      <c r="J24" s="11" t="n">
        <v>221961</v>
      </c>
      <c r="K24" s="11" t="n">
        <v>303688</v>
      </c>
      <c r="L24" s="12" t="n">
        <f aca="false">AVERAGE(J24,K24)</f>
        <v>262824.5</v>
      </c>
      <c r="M24" s="11" t="n">
        <v>2104355</v>
      </c>
      <c r="N24" s="11" t="n">
        <v>3474265</v>
      </c>
      <c r="O24" s="13" t="n">
        <f aca="false">IFERROR(D24/M24*360,"-")</f>
        <v>17.1482663333896</v>
      </c>
      <c r="P24" s="13" t="n">
        <f aca="false">IFERROR(I24/N24*360,"-")</f>
        <v>12.5026732272869</v>
      </c>
      <c r="Q24" s="13" t="n">
        <f aca="false">IFERROR(L24/M24*360,"-")</f>
        <v>44.9623851488936</v>
      </c>
      <c r="R24" s="13" t="n">
        <f aca="false">O24+P24-Q24</f>
        <v>-15.3114455882171</v>
      </c>
      <c r="S24" s="11" t="n">
        <v>719907</v>
      </c>
      <c r="T24" s="11" t="n">
        <v>3188844</v>
      </c>
      <c r="U24" s="11" t="n">
        <v>2206979</v>
      </c>
      <c r="V24" s="14" t="n">
        <f aca="false">IFERROR(S24/T24,"-")</f>
        <v>0.225757986279667</v>
      </c>
      <c r="W24" s="14" t="n">
        <f aca="false">IFERROR(S24/U24,"-")</f>
        <v>0.326195672908532</v>
      </c>
    </row>
    <row r="26" customFormat="false" ht="25.5" hidden="false" customHeight="true" outlineLevel="0" collapsed="false">
      <c r="A26" s="15" t="s">
        <v>47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8" customFormat="false" ht="15.75" hidden="false" customHeight="true" outlineLevel="0" collapsed="false">
      <c r="A28" s="7" t="s">
        <v>48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customFormat="false" ht="13.5" hidden="false" customHeight="true" outlineLevel="0" collapsed="false">
      <c r="A29" s="16" t="s">
        <v>49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customFormat="false" ht="13.5" hidden="false" customHeight="true" outlineLevel="0" collapsed="false">
      <c r="A30" s="16" t="s">
        <v>50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customFormat="false" ht="13.5" hidden="false" customHeight="true" outlineLevel="0" collapsed="false">
      <c r="A31" s="16" t="s">
        <v>51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customFormat="false" ht="13.5" hidden="false" customHeight="true" outlineLevel="0" collapsed="false">
      <c r="A32" s="16" t="s">
        <v>52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customFormat="false" ht="13.5" hidden="false" customHeight="true" outlineLevel="0" collapsed="false">
      <c r="A33" s="16" t="s">
        <v>53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customFormat="false" ht="13.5" hidden="false" customHeight="true" outlineLevel="0" collapsed="false">
      <c r="A34" s="16" t="s">
        <v>54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</sheetData>
  <mergeCells count="22">
    <mergeCell ref="A1:W1"/>
    <mergeCell ref="A2:W2"/>
    <mergeCell ref="B4:W4"/>
    <mergeCell ref="B5:W5"/>
    <mergeCell ref="B6:W6"/>
    <mergeCell ref="B7:W7"/>
    <mergeCell ref="B8:W8"/>
    <mergeCell ref="B9:W9"/>
    <mergeCell ref="B10:W10"/>
    <mergeCell ref="B11:W11"/>
    <mergeCell ref="B12:W12"/>
    <mergeCell ref="A14:W14"/>
    <mergeCell ref="A16:R16"/>
    <mergeCell ref="S16:W16"/>
    <mergeCell ref="A26:W26"/>
    <mergeCell ref="A28:W28"/>
    <mergeCell ref="A29:W29"/>
    <mergeCell ref="A30:W30"/>
    <mergeCell ref="A31:W31"/>
    <mergeCell ref="A32:W32"/>
    <mergeCell ref="A33:W33"/>
    <mergeCell ref="A34:W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0"/>
  </cols>
  <sheetData>
    <row r="1" customFormat="false" ht="24" hidden="false" customHeight="true" outlineLevel="0" collapsed="false">
      <c r="A1" s="2" t="s">
        <v>55</v>
      </c>
      <c r="B1" s="2"/>
    </row>
    <row r="3" customFormat="false" ht="18" hidden="false" customHeight="true" outlineLevel="0" collapsed="false">
      <c r="A3" s="17" t="s">
        <v>56</v>
      </c>
      <c r="B3" s="18" t="s">
        <v>57</v>
      </c>
    </row>
    <row r="4" customFormat="false" ht="18" hidden="false" customHeight="true" outlineLevel="0" collapsed="false">
      <c r="A4" s="17" t="s">
        <v>58</v>
      </c>
      <c r="B4" s="18" t="s">
        <v>59</v>
      </c>
    </row>
    <row r="5" customFormat="false" ht="27.75" hidden="false" customHeight="true" outlineLevel="0" collapsed="false">
      <c r="A5" s="17" t="s">
        <v>60</v>
      </c>
      <c r="B5" s="18" t="s">
        <v>61</v>
      </c>
    </row>
    <row r="6" customFormat="false" ht="55.5" hidden="false" customHeight="true" outlineLevel="0" collapsed="false">
      <c r="A6" s="17" t="s">
        <v>62</v>
      </c>
      <c r="B6" s="18" t="s">
        <v>63</v>
      </c>
    </row>
    <row r="7" customFormat="false" ht="27.75" hidden="false" customHeight="true" outlineLevel="0" collapsed="false">
      <c r="A7" s="17" t="s">
        <v>64</v>
      </c>
      <c r="B7" s="18" t="s">
        <v>65</v>
      </c>
    </row>
    <row r="8" customFormat="false" ht="18" hidden="false" customHeight="true" outlineLevel="0" collapsed="false">
      <c r="A8" s="17" t="s">
        <v>66</v>
      </c>
      <c r="B8" s="18" t="s">
        <v>67</v>
      </c>
    </row>
    <row r="9" customFormat="false" ht="42" hidden="false" customHeight="true" outlineLevel="0" collapsed="false">
      <c r="A9" s="17" t="s">
        <v>68</v>
      </c>
      <c r="B9" s="18" t="s">
        <v>69</v>
      </c>
    </row>
    <row r="10" customFormat="false" ht="55.5" hidden="false" customHeight="true" outlineLevel="0" collapsed="false">
      <c r="A10" s="17" t="s">
        <v>70</v>
      </c>
      <c r="B10" s="18" t="s">
        <v>71</v>
      </c>
    </row>
    <row r="11" customFormat="false" ht="94.5" hidden="false" customHeight="true" outlineLevel="0" collapsed="false">
      <c r="A11" s="17" t="s">
        <v>72</v>
      </c>
      <c r="B11" s="19" t="s">
        <v>73</v>
      </c>
    </row>
    <row r="12" customFormat="false" ht="42" hidden="false" customHeight="true" outlineLevel="0" collapsed="false">
      <c r="A12" s="17" t="s">
        <v>74</v>
      </c>
      <c r="B12" s="18" t="s">
        <v>75</v>
      </c>
    </row>
    <row r="13" customFormat="false" ht="27.75" hidden="false" customHeight="true" outlineLevel="0" collapsed="false">
      <c r="A13" s="17" t="s">
        <v>76</v>
      </c>
      <c r="B13" s="18" t="s">
        <v>77</v>
      </c>
    </row>
    <row r="15" customFormat="false" ht="33.75" hidden="false" customHeight="true" outlineLevel="0" collapsed="false">
      <c r="A15" s="20"/>
      <c r="B15" s="20"/>
    </row>
  </sheetData>
  <mergeCells count="2">
    <mergeCell ref="A1:B1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7" min="6" style="1" width="52"/>
  </cols>
  <sheetData>
    <row r="1" customFormat="false" ht="15" hidden="false" customHeight="true" outlineLevel="0" collapsed="false">
      <c r="A1" s="21" t="s">
        <v>78</v>
      </c>
    </row>
    <row r="2" customFormat="false" ht="37.5" hidden="false" customHeight="true" outlineLevel="0" collapsed="false">
      <c r="A2" s="22" t="s">
        <v>79</v>
      </c>
      <c r="B2" s="22"/>
      <c r="C2" s="22"/>
      <c r="D2" s="22"/>
      <c r="E2" s="22"/>
      <c r="F2" s="22"/>
      <c r="G2" s="22"/>
    </row>
    <row r="4" customFormat="false" ht="15" hidden="false" customHeight="true" outlineLevel="0" collapsed="false">
      <c r="A4" s="23" t="s">
        <v>23</v>
      </c>
      <c r="B4" s="23" t="s">
        <v>80</v>
      </c>
      <c r="C4" s="23" t="s">
        <v>81</v>
      </c>
      <c r="D4" s="23" t="s">
        <v>82</v>
      </c>
      <c r="E4" s="23" t="s">
        <v>83</v>
      </c>
      <c r="F4" s="23" t="s">
        <v>84</v>
      </c>
      <c r="G4" s="23" t="s">
        <v>85</v>
      </c>
    </row>
    <row r="5" customFormat="false" ht="15" hidden="false" customHeight="true" outlineLevel="0" collapsed="false">
      <c r="A5" s="24" t="n">
        <v>2020</v>
      </c>
      <c r="B5" s="25" t="s">
        <v>86</v>
      </c>
      <c r="C5" s="26" t="n">
        <f aca="false">'Ficha de Registro de Datos'!C19</f>
        <v>50084</v>
      </c>
      <c r="D5" s="27" t="n">
        <v>50084</v>
      </c>
      <c r="E5" s="28" t="n">
        <f aca="false">C5-D5</f>
        <v>0</v>
      </c>
      <c r="F5" s="29" t="s">
        <v>87</v>
      </c>
      <c r="G5" s="24" t="s">
        <v>88</v>
      </c>
    </row>
    <row r="6" customFormat="false" ht="15" hidden="false" customHeight="true" outlineLevel="0" collapsed="false">
      <c r="A6" s="24" t="n">
        <v>2020</v>
      </c>
      <c r="B6" s="25" t="s">
        <v>89</v>
      </c>
      <c r="C6" s="26" t="n">
        <f aca="false">'Ficha de Registro de Datos'!G19</f>
        <v>12787</v>
      </c>
      <c r="D6" s="27" t="n">
        <v>12787</v>
      </c>
      <c r="E6" s="28" t="n">
        <f aca="false">C6-D6</f>
        <v>0</v>
      </c>
      <c r="F6" s="29" t="s">
        <v>87</v>
      </c>
      <c r="G6" s="24" t="s">
        <v>88</v>
      </c>
    </row>
    <row r="7" customFormat="false" ht="15" hidden="false" customHeight="true" outlineLevel="0" collapsed="false">
      <c r="A7" s="24" t="n">
        <v>2020</v>
      </c>
      <c r="B7" s="25" t="s">
        <v>90</v>
      </c>
      <c r="C7" s="26" t="n">
        <f aca="false">'Ficha de Registro de Datos'!H19</f>
        <v>16688</v>
      </c>
      <c r="D7" s="27" t="n">
        <v>16688</v>
      </c>
      <c r="E7" s="28" t="n">
        <f aca="false">C7-D7</f>
        <v>0</v>
      </c>
      <c r="F7" s="29" t="s">
        <v>87</v>
      </c>
      <c r="G7" s="24" t="s">
        <v>88</v>
      </c>
    </row>
    <row r="8" customFormat="false" ht="15" hidden="false" customHeight="true" outlineLevel="0" collapsed="false">
      <c r="A8" s="24" t="n">
        <v>2020</v>
      </c>
      <c r="B8" s="25" t="s">
        <v>91</v>
      </c>
      <c r="C8" s="26" t="n">
        <f aca="false">'Ficha de Registro de Datos'!K19</f>
        <v>85609</v>
      </c>
      <c r="D8" s="27" t="n">
        <v>85609</v>
      </c>
      <c r="E8" s="28" t="n">
        <f aca="false">C8-D8</f>
        <v>0</v>
      </c>
      <c r="F8" s="29" t="s">
        <v>87</v>
      </c>
      <c r="G8" s="24" t="s">
        <v>88</v>
      </c>
    </row>
    <row r="9" customFormat="false" ht="15" hidden="false" customHeight="true" outlineLevel="0" collapsed="false">
      <c r="A9" s="24" t="n">
        <v>2020</v>
      </c>
      <c r="B9" s="25" t="s">
        <v>92</v>
      </c>
      <c r="C9" s="26" t="n">
        <f aca="false">'Ficha de Registro de Datos'!M19</f>
        <v>866319</v>
      </c>
      <c r="D9" s="27" t="n">
        <v>866319</v>
      </c>
      <c r="E9" s="28" t="n">
        <f aca="false">C9-D9</f>
        <v>0</v>
      </c>
      <c r="F9" s="29" t="s">
        <v>93</v>
      </c>
      <c r="G9" s="24" t="s">
        <v>88</v>
      </c>
    </row>
    <row r="10" customFormat="false" ht="15" hidden="false" customHeight="true" outlineLevel="0" collapsed="false">
      <c r="A10" s="24" t="n">
        <v>2020</v>
      </c>
      <c r="B10" s="25" t="s">
        <v>94</v>
      </c>
      <c r="C10" s="26" t="n">
        <f aca="false">'Ficha de Registro de Datos'!N19</f>
        <v>1663261</v>
      </c>
      <c r="D10" s="27" t="n">
        <v>1663261</v>
      </c>
      <c r="E10" s="28" t="n">
        <f aca="false">C10-D10</f>
        <v>0</v>
      </c>
      <c r="F10" s="29" t="s">
        <v>93</v>
      </c>
      <c r="G10" s="24" t="s">
        <v>88</v>
      </c>
    </row>
    <row r="11" customFormat="false" ht="15" hidden="false" customHeight="true" outlineLevel="0" collapsed="false">
      <c r="A11" s="24" t="n">
        <v>2020</v>
      </c>
      <c r="B11" s="25" t="s">
        <v>95</v>
      </c>
      <c r="C11" s="26" t="n">
        <f aca="false">'Ficha de Registro de Datos'!S19</f>
        <v>385559</v>
      </c>
      <c r="D11" s="27" t="n">
        <v>385559</v>
      </c>
      <c r="E11" s="28" t="n">
        <f aca="false">C11-D11</f>
        <v>0</v>
      </c>
      <c r="F11" s="29" t="s">
        <v>93</v>
      </c>
      <c r="G11" s="24" t="s">
        <v>88</v>
      </c>
    </row>
    <row r="12" customFormat="false" ht="15" hidden="false" customHeight="true" outlineLevel="0" collapsed="false">
      <c r="A12" s="24" t="n">
        <v>2020</v>
      </c>
      <c r="B12" s="25" t="s">
        <v>96</v>
      </c>
      <c r="C12" s="26" t="n">
        <f aca="false">'Ficha de Registro de Datos'!T19</f>
        <v>1708321</v>
      </c>
      <c r="D12" s="27" t="n">
        <v>1708321</v>
      </c>
      <c r="E12" s="28" t="n">
        <f aca="false">C12-D12</f>
        <v>0</v>
      </c>
      <c r="F12" s="29" t="s">
        <v>87</v>
      </c>
      <c r="G12" s="24" t="s">
        <v>88</v>
      </c>
    </row>
    <row r="13" customFormat="false" ht="15" hidden="false" customHeight="true" outlineLevel="0" collapsed="false">
      <c r="A13" s="24" t="n">
        <v>2020</v>
      </c>
      <c r="B13" s="25" t="s">
        <v>97</v>
      </c>
      <c r="C13" s="26" t="n">
        <f aca="false">'Ficha de Registro de Datos'!U19</f>
        <v>1196378</v>
      </c>
      <c r="D13" s="27" t="n">
        <v>1196378</v>
      </c>
      <c r="E13" s="28" t="n">
        <f aca="false">C13-D13</f>
        <v>0</v>
      </c>
      <c r="F13" s="29" t="s">
        <v>87</v>
      </c>
      <c r="G13" s="24" t="s">
        <v>88</v>
      </c>
    </row>
    <row r="14" customFormat="false" ht="23.25" hidden="false" customHeight="true" outlineLevel="0" collapsed="false">
      <c r="A14" s="24" t="n">
        <v>2021</v>
      </c>
      <c r="B14" s="25" t="s">
        <v>86</v>
      </c>
      <c r="C14" s="26" t="n">
        <f aca="false">'Ficha de Registro de Datos'!C20</f>
        <v>59856</v>
      </c>
      <c r="D14" s="27" t="n">
        <v>59856</v>
      </c>
      <c r="E14" s="28" t="n">
        <f aca="false">C14-D14</f>
        <v>0</v>
      </c>
      <c r="F14" s="29" t="s">
        <v>98</v>
      </c>
      <c r="G14" s="24" t="s">
        <v>99</v>
      </c>
    </row>
    <row r="15" customFormat="false" ht="23.25" hidden="false" customHeight="true" outlineLevel="0" collapsed="false">
      <c r="A15" s="24" t="n">
        <v>2021</v>
      </c>
      <c r="B15" s="25" t="s">
        <v>89</v>
      </c>
      <c r="C15" s="26" t="n">
        <f aca="false">'Ficha de Registro de Datos'!G20</f>
        <v>10183</v>
      </c>
      <c r="D15" s="27" t="n">
        <v>10183</v>
      </c>
      <c r="E15" s="28" t="n">
        <f aca="false">C15-D15</f>
        <v>0</v>
      </c>
      <c r="F15" s="29" t="s">
        <v>98</v>
      </c>
      <c r="G15" s="24" t="s">
        <v>99</v>
      </c>
    </row>
    <row r="16" customFormat="false" ht="23.25" hidden="false" customHeight="true" outlineLevel="0" collapsed="false">
      <c r="A16" s="24" t="n">
        <v>2021</v>
      </c>
      <c r="B16" s="25" t="s">
        <v>90</v>
      </c>
      <c r="C16" s="26" t="n">
        <f aca="false">'Ficha de Registro de Datos'!H20</f>
        <v>16592</v>
      </c>
      <c r="D16" s="27" t="n">
        <v>16592</v>
      </c>
      <c r="E16" s="28" t="n">
        <f aca="false">C16-D16</f>
        <v>0</v>
      </c>
      <c r="F16" s="29" t="s">
        <v>98</v>
      </c>
      <c r="G16" s="24" t="s">
        <v>99</v>
      </c>
    </row>
    <row r="17" customFormat="false" ht="23.25" hidden="false" customHeight="true" outlineLevel="0" collapsed="false">
      <c r="A17" s="24" t="n">
        <v>2021</v>
      </c>
      <c r="B17" s="25" t="s">
        <v>91</v>
      </c>
      <c r="C17" s="26" t="n">
        <f aca="false">'Ficha de Registro de Datos'!K20</f>
        <v>86042</v>
      </c>
      <c r="D17" s="27" t="n">
        <v>86042</v>
      </c>
      <c r="E17" s="28" t="n">
        <f aca="false">C17-D17</f>
        <v>0</v>
      </c>
      <c r="F17" s="29" t="s">
        <v>98</v>
      </c>
      <c r="G17" s="24" t="s">
        <v>99</v>
      </c>
    </row>
    <row r="18" customFormat="false" ht="15" hidden="false" customHeight="true" outlineLevel="0" collapsed="false">
      <c r="A18" s="24" t="n">
        <v>2021</v>
      </c>
      <c r="B18" s="25" t="s">
        <v>92</v>
      </c>
      <c r="C18" s="26" t="n">
        <f aca="false">'Ficha de Registro de Datos'!M20</f>
        <v>1101480</v>
      </c>
      <c r="D18" s="27" t="n">
        <v>1101480</v>
      </c>
      <c r="E18" s="28" t="n">
        <f aca="false">C18-D18</f>
        <v>0</v>
      </c>
      <c r="F18" s="29" t="s">
        <v>100</v>
      </c>
      <c r="G18" s="24" t="s">
        <v>99</v>
      </c>
    </row>
    <row r="19" customFormat="false" ht="15" hidden="false" customHeight="true" outlineLevel="0" collapsed="false">
      <c r="A19" s="24" t="n">
        <v>2021</v>
      </c>
      <c r="B19" s="25" t="s">
        <v>94</v>
      </c>
      <c r="C19" s="26" t="n">
        <f aca="false">'Ficha de Registro de Datos'!N20</f>
        <v>2102747</v>
      </c>
      <c r="D19" s="27" t="n">
        <v>2102747</v>
      </c>
      <c r="E19" s="28" t="n">
        <f aca="false">C19-D19</f>
        <v>0</v>
      </c>
      <c r="F19" s="29" t="s">
        <v>100</v>
      </c>
      <c r="G19" s="24" t="s">
        <v>99</v>
      </c>
    </row>
    <row r="20" customFormat="false" ht="15" hidden="false" customHeight="true" outlineLevel="0" collapsed="false">
      <c r="A20" s="24" t="n">
        <v>2021</v>
      </c>
      <c r="B20" s="25" t="s">
        <v>95</v>
      </c>
      <c r="C20" s="26" t="n">
        <f aca="false">'Ficha de Registro de Datos'!S20</f>
        <v>552792</v>
      </c>
      <c r="D20" s="27" t="n">
        <v>552792</v>
      </c>
      <c r="E20" s="28" t="n">
        <f aca="false">C20-D20</f>
        <v>0</v>
      </c>
      <c r="F20" s="29" t="s">
        <v>100</v>
      </c>
      <c r="G20" s="24" t="s">
        <v>99</v>
      </c>
    </row>
    <row r="21" customFormat="false" ht="23.25" hidden="false" customHeight="true" outlineLevel="0" collapsed="false">
      <c r="A21" s="24" t="n">
        <v>2021</v>
      </c>
      <c r="B21" s="25" t="s">
        <v>96</v>
      </c>
      <c r="C21" s="26" t="n">
        <f aca="false">'Ficha de Registro de Datos'!T20</f>
        <v>2072248</v>
      </c>
      <c r="D21" s="27" t="n">
        <v>2072248</v>
      </c>
      <c r="E21" s="28" t="n">
        <f aca="false">C21-D21</f>
        <v>0</v>
      </c>
      <c r="F21" s="29" t="s">
        <v>98</v>
      </c>
      <c r="G21" s="24" t="s">
        <v>99</v>
      </c>
    </row>
    <row r="22" customFormat="false" ht="23.25" hidden="false" customHeight="true" outlineLevel="0" collapsed="false">
      <c r="A22" s="24" t="n">
        <v>2021</v>
      </c>
      <c r="B22" s="25" t="s">
        <v>97</v>
      </c>
      <c r="C22" s="26" t="n">
        <f aca="false">'Ficha de Registro de Datos'!U20</f>
        <v>1517920</v>
      </c>
      <c r="D22" s="27" t="n">
        <v>1517920</v>
      </c>
      <c r="E22" s="28" t="n">
        <f aca="false">C22-D22</f>
        <v>0</v>
      </c>
      <c r="F22" s="29" t="s">
        <v>98</v>
      </c>
      <c r="G22" s="24" t="s">
        <v>99</v>
      </c>
    </row>
    <row r="23" customFormat="false" ht="23.25" hidden="false" customHeight="true" outlineLevel="0" collapsed="false">
      <c r="A23" s="24" t="n">
        <v>2022</v>
      </c>
      <c r="B23" s="25" t="s">
        <v>86</v>
      </c>
      <c r="C23" s="26" t="n">
        <f aca="false">'Ficha de Registro de Datos'!C21</f>
        <v>70544</v>
      </c>
      <c r="D23" s="27" t="n">
        <v>70544</v>
      </c>
      <c r="E23" s="28" t="n">
        <f aca="false">C23-D23</f>
        <v>0</v>
      </c>
      <c r="F23" s="29" t="s">
        <v>101</v>
      </c>
      <c r="G23" s="24" t="s">
        <v>102</v>
      </c>
    </row>
    <row r="24" customFormat="false" ht="23.25" hidden="false" customHeight="true" outlineLevel="0" collapsed="false">
      <c r="A24" s="24" t="n">
        <v>2022</v>
      </c>
      <c r="B24" s="25" t="s">
        <v>89</v>
      </c>
      <c r="C24" s="26" t="n">
        <f aca="false">'Ficha de Registro de Datos'!G21</f>
        <v>12630</v>
      </c>
      <c r="D24" s="27" t="n">
        <v>12630</v>
      </c>
      <c r="E24" s="28" t="n">
        <f aca="false">C24-D24</f>
        <v>0</v>
      </c>
      <c r="F24" s="29" t="s">
        <v>101</v>
      </c>
      <c r="G24" s="24" t="s">
        <v>102</v>
      </c>
    </row>
    <row r="25" customFormat="false" ht="23.25" hidden="false" customHeight="true" outlineLevel="0" collapsed="false">
      <c r="A25" s="24" t="n">
        <v>2022</v>
      </c>
      <c r="B25" s="25" t="s">
        <v>90</v>
      </c>
      <c r="C25" s="26" t="n">
        <f aca="false">'Ficha de Registro de Datos'!H21</f>
        <v>62109</v>
      </c>
      <c r="D25" s="27" t="n">
        <v>62109</v>
      </c>
      <c r="E25" s="28" t="n">
        <f aca="false">C25-D25</f>
        <v>0</v>
      </c>
      <c r="F25" s="29" t="s">
        <v>101</v>
      </c>
      <c r="G25" s="24" t="s">
        <v>102</v>
      </c>
    </row>
    <row r="26" customFormat="false" ht="23.25" hidden="false" customHeight="true" outlineLevel="0" collapsed="false">
      <c r="A26" s="24" t="n">
        <v>2022</v>
      </c>
      <c r="B26" s="25" t="s">
        <v>91</v>
      </c>
      <c r="C26" s="26" t="n">
        <f aca="false">'Ficha de Registro de Datos'!K21</f>
        <v>103394</v>
      </c>
      <c r="D26" s="27" t="n">
        <v>103394</v>
      </c>
      <c r="E26" s="28" t="n">
        <f aca="false">C26-D26</f>
        <v>0</v>
      </c>
      <c r="F26" s="29" t="s">
        <v>101</v>
      </c>
      <c r="G26" s="24" t="s">
        <v>102</v>
      </c>
    </row>
    <row r="27" customFormat="false" ht="15" hidden="false" customHeight="true" outlineLevel="0" collapsed="false">
      <c r="A27" s="24" t="n">
        <v>2022</v>
      </c>
      <c r="B27" s="25" t="s">
        <v>92</v>
      </c>
      <c r="C27" s="26" t="n">
        <f aca="false">'Ficha de Registro de Datos'!M21</f>
        <v>1205403</v>
      </c>
      <c r="D27" s="27" t="n">
        <v>1205403</v>
      </c>
      <c r="E27" s="28" t="n">
        <f aca="false">C27-D27</f>
        <v>0</v>
      </c>
      <c r="F27" s="29" t="s">
        <v>103</v>
      </c>
      <c r="G27" s="24" t="s">
        <v>102</v>
      </c>
    </row>
    <row r="28" customFormat="false" ht="15" hidden="false" customHeight="true" outlineLevel="0" collapsed="false">
      <c r="A28" s="24" t="n">
        <v>2022</v>
      </c>
      <c r="B28" s="25" t="s">
        <v>94</v>
      </c>
      <c r="C28" s="26" t="n">
        <f aca="false">'Ficha de Registro de Datos'!N21</f>
        <v>2090683</v>
      </c>
      <c r="D28" s="27" t="n">
        <v>2090683</v>
      </c>
      <c r="E28" s="28" t="n">
        <f aca="false">C28-D28</f>
        <v>0</v>
      </c>
      <c r="F28" s="29" t="s">
        <v>103</v>
      </c>
      <c r="G28" s="24" t="s">
        <v>102</v>
      </c>
    </row>
    <row r="29" customFormat="false" ht="15" hidden="false" customHeight="true" outlineLevel="0" collapsed="false">
      <c r="A29" s="24" t="n">
        <v>2022</v>
      </c>
      <c r="B29" s="25" t="s">
        <v>95</v>
      </c>
      <c r="C29" s="26" t="n">
        <f aca="false">'Ficha de Registro de Datos'!S21</f>
        <v>407345</v>
      </c>
      <c r="D29" s="27" t="n">
        <v>407345</v>
      </c>
      <c r="E29" s="28" t="n">
        <f aca="false">C29-D29</f>
        <v>0</v>
      </c>
      <c r="F29" s="29" t="s">
        <v>103</v>
      </c>
      <c r="G29" s="24" t="s">
        <v>102</v>
      </c>
    </row>
    <row r="30" customFormat="false" ht="23.25" hidden="false" customHeight="true" outlineLevel="0" collapsed="false">
      <c r="A30" s="24" t="n">
        <v>2022</v>
      </c>
      <c r="B30" s="25" t="s">
        <v>96</v>
      </c>
      <c r="C30" s="26" t="n">
        <f aca="false">'Ficha de Registro de Datos'!T21</f>
        <v>2100877</v>
      </c>
      <c r="D30" s="27" t="n">
        <v>2100877</v>
      </c>
      <c r="E30" s="28" t="n">
        <f aca="false">C30-D30</f>
        <v>0</v>
      </c>
      <c r="F30" s="29" t="s">
        <v>101</v>
      </c>
      <c r="G30" s="24" t="s">
        <v>102</v>
      </c>
    </row>
    <row r="31" customFormat="false" ht="23.25" hidden="false" customHeight="true" outlineLevel="0" collapsed="false">
      <c r="A31" s="24" t="n">
        <v>2022</v>
      </c>
      <c r="B31" s="25" t="s">
        <v>97</v>
      </c>
      <c r="C31" s="26" t="n">
        <f aca="false">'Ficha de Registro de Datos'!U21</f>
        <v>1594982</v>
      </c>
      <c r="D31" s="27" t="n">
        <v>1594982</v>
      </c>
      <c r="E31" s="28" t="n">
        <f aca="false">C31-D31</f>
        <v>0</v>
      </c>
      <c r="F31" s="29" t="s">
        <v>101</v>
      </c>
      <c r="G31" s="24" t="s">
        <v>102</v>
      </c>
    </row>
    <row r="32" customFormat="false" ht="23.25" hidden="false" customHeight="true" outlineLevel="0" collapsed="false">
      <c r="A32" s="24" t="n">
        <v>2023</v>
      </c>
      <c r="B32" s="25" t="s">
        <v>86</v>
      </c>
      <c r="C32" s="26" t="n">
        <f aca="false">'Ficha de Registro de Datos'!C22</f>
        <v>68270</v>
      </c>
      <c r="D32" s="27" t="n">
        <v>68270</v>
      </c>
      <c r="E32" s="28" t="n">
        <f aca="false">C32-D32</f>
        <v>0</v>
      </c>
      <c r="F32" s="29" t="s">
        <v>104</v>
      </c>
      <c r="G32" s="24" t="s">
        <v>105</v>
      </c>
    </row>
    <row r="33" customFormat="false" ht="23.25" hidden="false" customHeight="true" outlineLevel="0" collapsed="false">
      <c r="A33" s="24" t="n">
        <v>2023</v>
      </c>
      <c r="B33" s="25" t="s">
        <v>89</v>
      </c>
      <c r="C33" s="26" t="n">
        <f aca="false">'Ficha de Registro de Datos'!G22</f>
        <v>14628</v>
      </c>
      <c r="D33" s="27" t="n">
        <v>14628</v>
      </c>
      <c r="E33" s="28" t="n">
        <f aca="false">C33-D33</f>
        <v>0</v>
      </c>
      <c r="F33" s="29" t="s">
        <v>104</v>
      </c>
      <c r="G33" s="24" t="s">
        <v>105</v>
      </c>
    </row>
    <row r="34" customFormat="false" ht="23.25" hidden="false" customHeight="true" outlineLevel="0" collapsed="false">
      <c r="A34" s="24" t="n">
        <v>2023</v>
      </c>
      <c r="B34" s="25" t="s">
        <v>90</v>
      </c>
      <c r="C34" s="26" t="n">
        <f aca="false">'Ficha de Registro de Datos'!H22</f>
        <v>87810</v>
      </c>
      <c r="D34" s="27" t="n">
        <v>87810</v>
      </c>
      <c r="E34" s="28" t="n">
        <f aca="false">C34-D34</f>
        <v>0</v>
      </c>
      <c r="F34" s="29" t="s">
        <v>104</v>
      </c>
      <c r="G34" s="24" t="s">
        <v>105</v>
      </c>
    </row>
    <row r="35" customFormat="false" ht="23.25" hidden="false" customHeight="true" outlineLevel="0" collapsed="false">
      <c r="A35" s="24" t="n">
        <v>2023</v>
      </c>
      <c r="B35" s="25" t="s">
        <v>91</v>
      </c>
      <c r="C35" s="26" t="n">
        <f aca="false">'Ficha de Registro de Datos'!K22</f>
        <v>210432</v>
      </c>
      <c r="D35" s="27" t="n">
        <v>210432</v>
      </c>
      <c r="E35" s="28" t="n">
        <f aca="false">C35-D35</f>
        <v>0</v>
      </c>
      <c r="F35" s="29" t="s">
        <v>104</v>
      </c>
      <c r="G35" s="24" t="s">
        <v>105</v>
      </c>
    </row>
    <row r="36" customFormat="false" ht="23.25" hidden="false" customHeight="true" outlineLevel="0" collapsed="false">
      <c r="A36" s="24" t="n">
        <v>2023</v>
      </c>
      <c r="B36" s="25" t="s">
        <v>92</v>
      </c>
      <c r="C36" s="26" t="n">
        <f aca="false">'Ficha de Registro de Datos'!M22</f>
        <v>1324474</v>
      </c>
      <c r="D36" s="27" t="n">
        <v>1324474</v>
      </c>
      <c r="E36" s="28" t="n">
        <f aca="false">C36-D36</f>
        <v>0</v>
      </c>
      <c r="F36" s="29" t="s">
        <v>106</v>
      </c>
      <c r="G36" s="24" t="s">
        <v>105</v>
      </c>
    </row>
    <row r="37" customFormat="false" ht="23.25" hidden="false" customHeight="true" outlineLevel="0" collapsed="false">
      <c r="A37" s="24" t="n">
        <v>2023</v>
      </c>
      <c r="B37" s="25" t="s">
        <v>94</v>
      </c>
      <c r="C37" s="26" t="n">
        <f aca="false">'Ficha de Registro de Datos'!N22</f>
        <v>1992610</v>
      </c>
      <c r="D37" s="27" t="n">
        <v>1992610</v>
      </c>
      <c r="E37" s="28" t="n">
        <f aca="false">C37-D37</f>
        <v>0</v>
      </c>
      <c r="F37" s="29" t="s">
        <v>106</v>
      </c>
      <c r="G37" s="24" t="s">
        <v>105</v>
      </c>
    </row>
    <row r="38" customFormat="false" ht="23.25" hidden="false" customHeight="true" outlineLevel="0" collapsed="false">
      <c r="A38" s="24" t="n">
        <v>2023</v>
      </c>
      <c r="B38" s="25" t="s">
        <v>95</v>
      </c>
      <c r="C38" s="26" t="n">
        <f aca="false">'Ficha de Registro de Datos'!S22</f>
        <v>295664</v>
      </c>
      <c r="D38" s="27" t="n">
        <v>295664</v>
      </c>
      <c r="E38" s="28" t="n">
        <f aca="false">C38-D38</f>
        <v>0</v>
      </c>
      <c r="F38" s="29" t="s">
        <v>106</v>
      </c>
      <c r="G38" s="24" t="s">
        <v>105</v>
      </c>
    </row>
    <row r="39" customFormat="false" ht="23.25" hidden="false" customHeight="true" outlineLevel="0" collapsed="false">
      <c r="A39" s="24" t="n">
        <v>2023</v>
      </c>
      <c r="B39" s="25" t="s">
        <v>96</v>
      </c>
      <c r="C39" s="26" t="n">
        <f aca="false">'Ficha de Registro de Datos'!T22</f>
        <v>2327495</v>
      </c>
      <c r="D39" s="27" t="n">
        <v>2327495</v>
      </c>
      <c r="E39" s="28" t="n">
        <f aca="false">C39-D39</f>
        <v>0</v>
      </c>
      <c r="F39" s="29" t="s">
        <v>104</v>
      </c>
      <c r="G39" s="24" t="s">
        <v>105</v>
      </c>
    </row>
    <row r="40" customFormat="false" ht="23.25" hidden="false" customHeight="true" outlineLevel="0" collapsed="false">
      <c r="A40" s="24" t="n">
        <v>2023</v>
      </c>
      <c r="B40" s="25" t="s">
        <v>97</v>
      </c>
      <c r="C40" s="26" t="n">
        <f aca="false">'Ficha de Registro de Datos'!U22</f>
        <v>1645610</v>
      </c>
      <c r="D40" s="27" t="n">
        <v>1645610</v>
      </c>
      <c r="E40" s="28" t="n">
        <f aca="false">C40-D40</f>
        <v>0</v>
      </c>
      <c r="F40" s="29" t="s">
        <v>104</v>
      </c>
      <c r="G40" s="24" t="s">
        <v>105</v>
      </c>
    </row>
    <row r="41" customFormat="false" ht="23.25" hidden="false" customHeight="true" outlineLevel="0" collapsed="false">
      <c r="A41" s="24" t="n">
        <v>2024</v>
      </c>
      <c r="B41" s="25" t="s">
        <v>86</v>
      </c>
      <c r="C41" s="26" t="n">
        <f aca="false">'Ficha de Registro de Datos'!C23</f>
        <v>97619</v>
      </c>
      <c r="D41" s="27" t="n">
        <v>97619</v>
      </c>
      <c r="E41" s="28" t="n">
        <f aca="false">C41-D41</f>
        <v>0</v>
      </c>
      <c r="F41" s="29" t="s">
        <v>107</v>
      </c>
      <c r="G41" s="24" t="s">
        <v>108</v>
      </c>
    </row>
    <row r="42" customFormat="false" ht="23.25" hidden="false" customHeight="true" outlineLevel="0" collapsed="false">
      <c r="A42" s="24" t="n">
        <v>2024</v>
      </c>
      <c r="B42" s="25" t="s">
        <v>89</v>
      </c>
      <c r="C42" s="26" t="n">
        <f aca="false">'Ficha de Registro de Datos'!G23</f>
        <v>19293</v>
      </c>
      <c r="D42" s="27" t="n">
        <v>19293</v>
      </c>
      <c r="E42" s="28" t="n">
        <f aca="false">C42-D42</f>
        <v>0</v>
      </c>
      <c r="F42" s="29" t="s">
        <v>107</v>
      </c>
      <c r="G42" s="24" t="s">
        <v>108</v>
      </c>
    </row>
    <row r="43" customFormat="false" ht="23.25" hidden="false" customHeight="true" outlineLevel="0" collapsed="false">
      <c r="A43" s="24" t="n">
        <v>2024</v>
      </c>
      <c r="B43" s="25" t="s">
        <v>90</v>
      </c>
      <c r="C43" s="26" t="n">
        <f aca="false">'Ficha de Registro de Datos'!H23</f>
        <v>104314</v>
      </c>
      <c r="D43" s="27" t="n">
        <v>104314</v>
      </c>
      <c r="E43" s="28" t="n">
        <f aca="false">C43-D43</f>
        <v>0</v>
      </c>
      <c r="F43" s="29" t="s">
        <v>107</v>
      </c>
      <c r="G43" s="24" t="s">
        <v>108</v>
      </c>
    </row>
    <row r="44" customFormat="false" ht="23.25" hidden="false" customHeight="true" outlineLevel="0" collapsed="false">
      <c r="A44" s="24" t="n">
        <v>2024</v>
      </c>
      <c r="B44" s="25" t="s">
        <v>91</v>
      </c>
      <c r="C44" s="26" t="n">
        <f aca="false">'Ficha de Registro de Datos'!K23</f>
        <v>221961</v>
      </c>
      <c r="D44" s="27" t="n">
        <v>221961</v>
      </c>
      <c r="E44" s="28" t="n">
        <f aca="false">C44-D44</f>
        <v>0</v>
      </c>
      <c r="F44" s="29" t="s">
        <v>107</v>
      </c>
      <c r="G44" s="24" t="s">
        <v>108</v>
      </c>
    </row>
    <row r="45" customFormat="false" ht="23.25" hidden="false" customHeight="true" outlineLevel="0" collapsed="false">
      <c r="A45" s="24" t="n">
        <v>2024</v>
      </c>
      <c r="B45" s="25" t="s">
        <v>92</v>
      </c>
      <c r="C45" s="26" t="n">
        <f aca="false">'Ficha de Registro de Datos'!M23</f>
        <v>1708130</v>
      </c>
      <c r="D45" s="27" t="n">
        <v>1708130</v>
      </c>
      <c r="E45" s="28" t="n">
        <f aca="false">C45-D45</f>
        <v>0</v>
      </c>
      <c r="F45" s="29" t="s">
        <v>109</v>
      </c>
      <c r="G45" s="24" t="s">
        <v>108</v>
      </c>
    </row>
    <row r="46" customFormat="false" ht="23.25" hidden="false" customHeight="true" outlineLevel="0" collapsed="false">
      <c r="A46" s="24" t="n">
        <v>2024</v>
      </c>
      <c r="B46" s="25" t="s">
        <v>94</v>
      </c>
      <c r="C46" s="26" t="n">
        <f aca="false">'Ficha de Registro de Datos'!N23</f>
        <v>2624541</v>
      </c>
      <c r="D46" s="27" t="n">
        <v>2624541</v>
      </c>
      <c r="E46" s="28" t="n">
        <f aca="false">C46-D46</f>
        <v>0</v>
      </c>
      <c r="F46" s="29" t="s">
        <v>109</v>
      </c>
      <c r="G46" s="24" t="s">
        <v>108</v>
      </c>
    </row>
    <row r="47" customFormat="false" ht="23.25" hidden="false" customHeight="true" outlineLevel="0" collapsed="false">
      <c r="A47" s="24" t="n">
        <v>2024</v>
      </c>
      <c r="B47" s="25" t="s">
        <v>95</v>
      </c>
      <c r="C47" s="26" t="n">
        <f aca="false">'Ficha de Registro de Datos'!S23</f>
        <v>415128</v>
      </c>
      <c r="D47" s="27" t="n">
        <v>415128</v>
      </c>
      <c r="E47" s="28" t="n">
        <f aca="false">C47-D47</f>
        <v>0</v>
      </c>
      <c r="F47" s="29" t="s">
        <v>109</v>
      </c>
      <c r="G47" s="24" t="s">
        <v>108</v>
      </c>
    </row>
    <row r="48" customFormat="false" ht="23.25" hidden="false" customHeight="true" outlineLevel="0" collapsed="false">
      <c r="A48" s="24" t="n">
        <v>2024</v>
      </c>
      <c r="B48" s="25" t="s">
        <v>96</v>
      </c>
      <c r="C48" s="26" t="n">
        <f aca="false">'Ficha de Registro de Datos'!T23</f>
        <v>2542791</v>
      </c>
      <c r="D48" s="27" t="n">
        <v>2542791</v>
      </c>
      <c r="E48" s="28" t="n">
        <f aca="false">C48-D48</f>
        <v>0</v>
      </c>
      <c r="F48" s="29" t="s">
        <v>107</v>
      </c>
      <c r="G48" s="24" t="s">
        <v>108</v>
      </c>
    </row>
    <row r="49" customFormat="false" ht="23.25" hidden="false" customHeight="true" outlineLevel="0" collapsed="false">
      <c r="A49" s="24" t="n">
        <v>2024</v>
      </c>
      <c r="B49" s="25" t="s">
        <v>97</v>
      </c>
      <c r="C49" s="26" t="n">
        <f aca="false">'Ficha de Registro de Datos'!U23</f>
        <v>1883522</v>
      </c>
      <c r="D49" s="27" t="n">
        <v>1883522</v>
      </c>
      <c r="E49" s="28" t="n">
        <f aca="false">C49-D49</f>
        <v>0</v>
      </c>
      <c r="F49" s="29" t="s">
        <v>107</v>
      </c>
      <c r="G49" s="24" t="s">
        <v>108</v>
      </c>
    </row>
    <row r="50" customFormat="false" ht="23.25" hidden="false" customHeight="true" outlineLevel="0" collapsed="false">
      <c r="A50" s="24" t="n">
        <v>2025</v>
      </c>
      <c r="B50" s="25" t="s">
        <v>86</v>
      </c>
      <c r="C50" s="26" t="n">
        <f aca="false">'Ficha de Registro de Datos'!C24</f>
        <v>102859</v>
      </c>
      <c r="D50" s="27" t="n">
        <v>102859</v>
      </c>
      <c r="E50" s="28" t="n">
        <f aca="false">C50-D50</f>
        <v>0</v>
      </c>
      <c r="F50" s="29" t="s">
        <v>110</v>
      </c>
      <c r="G50" s="24" t="s">
        <v>111</v>
      </c>
    </row>
    <row r="51" customFormat="false" ht="23.25" hidden="false" customHeight="true" outlineLevel="0" collapsed="false">
      <c r="A51" s="24" t="n">
        <v>2025</v>
      </c>
      <c r="B51" s="25" t="s">
        <v>89</v>
      </c>
      <c r="C51" s="26" t="n">
        <f aca="false">'Ficha de Registro de Datos'!G24</f>
        <v>34281</v>
      </c>
      <c r="D51" s="27" t="n">
        <v>34281</v>
      </c>
      <c r="E51" s="28" t="n">
        <f aca="false">C51-D51</f>
        <v>0</v>
      </c>
      <c r="F51" s="29" t="s">
        <v>110</v>
      </c>
      <c r="G51" s="24" t="s">
        <v>111</v>
      </c>
    </row>
    <row r="52" customFormat="false" ht="23.25" hidden="false" customHeight="true" outlineLevel="0" collapsed="false">
      <c r="A52" s="24" t="n">
        <v>2025</v>
      </c>
      <c r="B52" s="25" t="s">
        <v>90</v>
      </c>
      <c r="C52" s="26" t="n">
        <f aca="false">'Ficha de Registro de Datos'!H24</f>
        <v>83432</v>
      </c>
      <c r="D52" s="27" t="n">
        <v>83432</v>
      </c>
      <c r="E52" s="28" t="n">
        <f aca="false">C52-D52</f>
        <v>0</v>
      </c>
      <c r="F52" s="29" t="s">
        <v>110</v>
      </c>
      <c r="G52" s="24" t="s">
        <v>111</v>
      </c>
    </row>
    <row r="53" customFormat="false" ht="23.25" hidden="false" customHeight="true" outlineLevel="0" collapsed="false">
      <c r="A53" s="24" t="n">
        <v>2025</v>
      </c>
      <c r="B53" s="25" t="s">
        <v>91</v>
      </c>
      <c r="C53" s="26" t="n">
        <f aca="false">'Ficha de Registro de Datos'!K24</f>
        <v>303688</v>
      </c>
      <c r="D53" s="27" t="n">
        <v>303688</v>
      </c>
      <c r="E53" s="28" t="n">
        <f aca="false">C53-D53</f>
        <v>0</v>
      </c>
      <c r="F53" s="29" t="s">
        <v>110</v>
      </c>
      <c r="G53" s="24" t="s">
        <v>111</v>
      </c>
    </row>
    <row r="54" customFormat="false" ht="23.25" hidden="false" customHeight="true" outlineLevel="0" collapsed="false">
      <c r="A54" s="24" t="n">
        <v>2025</v>
      </c>
      <c r="B54" s="25" t="s">
        <v>92</v>
      </c>
      <c r="C54" s="26" t="n">
        <f aca="false">'Ficha de Registro de Datos'!M24</f>
        <v>2104355</v>
      </c>
      <c r="D54" s="27" t="n">
        <v>2104355</v>
      </c>
      <c r="E54" s="28" t="n">
        <f aca="false">C54-D54</f>
        <v>0</v>
      </c>
      <c r="F54" s="29" t="s">
        <v>112</v>
      </c>
      <c r="G54" s="24" t="s">
        <v>111</v>
      </c>
    </row>
    <row r="55" customFormat="false" ht="23.25" hidden="false" customHeight="true" outlineLevel="0" collapsed="false">
      <c r="A55" s="24" t="n">
        <v>2025</v>
      </c>
      <c r="B55" s="25" t="s">
        <v>94</v>
      </c>
      <c r="C55" s="26" t="n">
        <f aca="false">'Ficha de Registro de Datos'!N24</f>
        <v>3474265</v>
      </c>
      <c r="D55" s="27" t="n">
        <v>3474265</v>
      </c>
      <c r="E55" s="28" t="n">
        <f aca="false">C55-D55</f>
        <v>0</v>
      </c>
      <c r="F55" s="29" t="s">
        <v>112</v>
      </c>
      <c r="G55" s="24" t="s">
        <v>111</v>
      </c>
    </row>
    <row r="56" customFormat="false" ht="23.25" hidden="false" customHeight="true" outlineLevel="0" collapsed="false">
      <c r="A56" s="24" t="n">
        <v>2025</v>
      </c>
      <c r="B56" s="25" t="s">
        <v>95</v>
      </c>
      <c r="C56" s="26" t="n">
        <f aca="false">'Ficha de Registro de Datos'!S24</f>
        <v>719907</v>
      </c>
      <c r="D56" s="27" t="n">
        <v>719907</v>
      </c>
      <c r="E56" s="28" t="n">
        <f aca="false">C56-D56</f>
        <v>0</v>
      </c>
      <c r="F56" s="29" t="s">
        <v>112</v>
      </c>
      <c r="G56" s="24" t="s">
        <v>111</v>
      </c>
    </row>
    <row r="57" customFormat="false" ht="23.25" hidden="false" customHeight="true" outlineLevel="0" collapsed="false">
      <c r="A57" s="24" t="n">
        <v>2025</v>
      </c>
      <c r="B57" s="25" t="s">
        <v>96</v>
      </c>
      <c r="C57" s="26" t="n">
        <f aca="false">'Ficha de Registro de Datos'!T24</f>
        <v>3188844</v>
      </c>
      <c r="D57" s="27" t="n">
        <v>3188844</v>
      </c>
      <c r="E57" s="28" t="n">
        <f aca="false">C57-D57</f>
        <v>0</v>
      </c>
      <c r="F57" s="29" t="s">
        <v>110</v>
      </c>
      <c r="G57" s="24" t="s">
        <v>111</v>
      </c>
    </row>
    <row r="58" customFormat="false" ht="23.25" hidden="false" customHeight="true" outlineLevel="0" collapsed="false">
      <c r="A58" s="24" t="n">
        <v>2025</v>
      </c>
      <c r="B58" s="25" t="s">
        <v>97</v>
      </c>
      <c r="C58" s="26" t="n">
        <f aca="false">'Ficha de Registro de Datos'!U24</f>
        <v>2206979</v>
      </c>
      <c r="D58" s="27" t="n">
        <v>2206979</v>
      </c>
      <c r="E58" s="28" t="n">
        <f aca="false">C58-D58</f>
        <v>0</v>
      </c>
      <c r="F58" s="29" t="s">
        <v>110</v>
      </c>
      <c r="G58" s="24" t="s">
        <v>111</v>
      </c>
    </row>
    <row r="59" customFormat="false" ht="23.25" hidden="false" customHeight="true" outlineLevel="0" collapsed="false">
      <c r="A59" s="24" t="n">
        <v>2019</v>
      </c>
      <c r="B59" s="25" t="s">
        <v>113</v>
      </c>
      <c r="C59" s="26" t="n">
        <f aca="false">'Ficha de Registro de Datos'!B19</f>
        <v>44353</v>
      </c>
      <c r="D59" s="27" t="n">
        <v>44353</v>
      </c>
      <c r="E59" s="28" t="n">
        <f aca="false">C59-D59</f>
        <v>0</v>
      </c>
      <c r="F59" s="29" t="s">
        <v>114</v>
      </c>
      <c r="G59" s="24" t="s">
        <v>115</v>
      </c>
    </row>
    <row r="60" customFormat="false" ht="23.25" hidden="false" customHeight="true" outlineLevel="0" collapsed="false">
      <c r="A60" s="24" t="n">
        <v>2019</v>
      </c>
      <c r="B60" s="25" t="s">
        <v>116</v>
      </c>
      <c r="C60" s="26" t="n">
        <f aca="false">'Ficha de Registro de Datos'!E19</f>
        <v>9622</v>
      </c>
      <c r="D60" s="27" t="n">
        <v>9622</v>
      </c>
      <c r="E60" s="28" t="n">
        <f aca="false">C60-D60</f>
        <v>0</v>
      </c>
      <c r="F60" s="29" t="s">
        <v>114</v>
      </c>
      <c r="G60" s="24" t="s">
        <v>115</v>
      </c>
    </row>
    <row r="61" customFormat="false" ht="23.25" hidden="false" customHeight="true" outlineLevel="0" collapsed="false">
      <c r="A61" s="24" t="n">
        <v>2019</v>
      </c>
      <c r="B61" s="25" t="s">
        <v>117</v>
      </c>
      <c r="C61" s="26" t="n">
        <f aca="false">'Ficha de Registro de Datos'!F19</f>
        <v>23718</v>
      </c>
      <c r="D61" s="27" t="n">
        <v>23718</v>
      </c>
      <c r="E61" s="28" t="n">
        <f aca="false">C61-D61</f>
        <v>0</v>
      </c>
      <c r="F61" s="29" t="s">
        <v>114</v>
      </c>
      <c r="G61" s="24" t="s">
        <v>115</v>
      </c>
    </row>
    <row r="62" customFormat="false" ht="23.25" hidden="false" customHeight="true" outlineLevel="0" collapsed="false">
      <c r="A62" s="24" t="n">
        <v>2019</v>
      </c>
      <c r="B62" s="25" t="s">
        <v>118</v>
      </c>
      <c r="C62" s="26" t="n">
        <f aca="false">'Ficha de Registro de Datos'!J19</f>
        <v>70981</v>
      </c>
      <c r="D62" s="27" t="n">
        <v>70981</v>
      </c>
      <c r="E62" s="28" t="n">
        <f aca="false">C62-D62</f>
        <v>0</v>
      </c>
      <c r="F62" s="29" t="s">
        <v>114</v>
      </c>
      <c r="G62" s="24" t="s">
        <v>115</v>
      </c>
    </row>
    <row r="63" customFormat="false" ht="15" hidden="false" customHeight="true" outlineLevel="0" collapsed="false">
      <c r="A63" s="30" t="s">
        <v>119</v>
      </c>
      <c r="B63" s="30"/>
      <c r="C63" s="30"/>
      <c r="D63" s="30"/>
      <c r="E63" s="31" t="n">
        <f aca="false">SUMPRODUCT(ABS(E5:E62))</f>
        <v>0</v>
      </c>
    </row>
    <row r="65" customFormat="false" ht="15" hidden="false" customHeight="true" outlineLevel="0" collapsed="false">
      <c r="A65" s="32" t="s">
        <v>120</v>
      </c>
    </row>
    <row r="66" customFormat="false" ht="23.25" hidden="false" customHeight="true" outlineLevel="0" collapsed="false">
      <c r="A66" s="23" t="s">
        <v>23</v>
      </c>
      <c r="B66" s="23" t="s">
        <v>80</v>
      </c>
      <c r="C66" s="23" t="s">
        <v>121</v>
      </c>
      <c r="D66" s="23" t="s">
        <v>122</v>
      </c>
      <c r="E66" s="23" t="s">
        <v>83</v>
      </c>
      <c r="F66" s="23" t="s">
        <v>123</v>
      </c>
      <c r="G66" s="23" t="s">
        <v>124</v>
      </c>
    </row>
    <row r="67" customFormat="false" ht="34.5" hidden="false" customHeight="true" outlineLevel="0" collapsed="false">
      <c r="A67" s="24" t="n">
        <v>2022</v>
      </c>
      <c r="B67" s="25" t="s">
        <v>125</v>
      </c>
      <c r="C67" s="26" t="n">
        <f aca="false">'Ficha de Registro de Datos'!J22</f>
        <v>103394</v>
      </c>
      <c r="D67" s="27" t="n">
        <v>160155</v>
      </c>
      <c r="E67" s="26" t="n">
        <f aca="false">D67-C67</f>
        <v>56761</v>
      </c>
      <c r="F67" s="29" t="s">
        <v>126</v>
      </c>
      <c r="G67" s="29" t="s">
        <v>127</v>
      </c>
    </row>
    <row r="68" customFormat="false" ht="34.5" hidden="false" customHeight="true" outlineLevel="0" collapsed="false">
      <c r="A68" s="24" t="n">
        <v>2024</v>
      </c>
      <c r="B68" s="25" t="s">
        <v>128</v>
      </c>
      <c r="C68" s="26" t="n">
        <f aca="false">'Ficha de Registro de Datos'!F24</f>
        <v>104314</v>
      </c>
      <c r="D68" s="27" t="n">
        <v>98899</v>
      </c>
      <c r="E68" s="26" t="n">
        <f aca="false">D68-C68</f>
        <v>-5415</v>
      </c>
      <c r="F68" s="29" t="s">
        <v>129</v>
      </c>
      <c r="G68" s="29" t="s">
        <v>130</v>
      </c>
    </row>
    <row r="70" customFormat="false" ht="15" hidden="false" customHeight="true" outlineLevel="0" collapsed="false">
      <c r="A70" s="32" t="s">
        <v>131</v>
      </c>
    </row>
    <row r="71" customFormat="false" ht="15" hidden="false" customHeight="true" outlineLevel="0" collapsed="false">
      <c r="A71" s="33" t="s">
        <v>23</v>
      </c>
      <c r="B71" s="33" t="s">
        <v>132</v>
      </c>
      <c r="C71" s="33" t="s">
        <v>81</v>
      </c>
      <c r="D71" s="33" t="s">
        <v>133</v>
      </c>
      <c r="E71" s="33" t="s">
        <v>83</v>
      </c>
      <c r="F71" s="33" t="s">
        <v>134</v>
      </c>
    </row>
    <row r="72" customFormat="false" ht="23.25" hidden="false" customHeight="true" outlineLevel="0" collapsed="false">
      <c r="A72" s="24" t="n">
        <v>2023</v>
      </c>
      <c r="B72" s="25" t="s">
        <v>135</v>
      </c>
      <c r="C72" s="34" t="n">
        <f aca="false">'Ficha de Registro de Datos'!Q22</f>
        <v>42.649897242226</v>
      </c>
      <c r="D72" s="34" t="n">
        <f aca="false">(D67+'Ficha de Registro de Datos'!K22)/2/'Ficha de Registro de Datos'!M22*360</f>
        <v>50.3638878528382</v>
      </c>
      <c r="E72" s="34" t="n">
        <f aca="false">D72-C72</f>
        <v>7.71399061061221</v>
      </c>
      <c r="F72" s="29" t="s">
        <v>136</v>
      </c>
    </row>
    <row r="73" customFormat="false" ht="15" hidden="false" customHeight="true" outlineLevel="0" collapsed="false">
      <c r="A73" s="24" t="n">
        <v>2023</v>
      </c>
      <c r="B73" s="25" t="s">
        <v>137</v>
      </c>
      <c r="C73" s="34" t="n">
        <f aca="false">'Ficha de Registro de Datos'!R22</f>
        <v>-7.77958842550935</v>
      </c>
      <c r="D73" s="34" t="n">
        <f aca="false">'Ficha de Registro de Datos'!O22+'Ficha de Registro de Datos'!P22-D72</f>
        <v>-15.4935790361216</v>
      </c>
      <c r="E73" s="34" t="n">
        <f aca="false">D73-C73</f>
        <v>-7.71399061061221</v>
      </c>
      <c r="F73" s="29" t="s">
        <v>138</v>
      </c>
    </row>
    <row r="74" customFormat="false" ht="23.25" hidden="false" customHeight="true" outlineLevel="0" collapsed="false">
      <c r="A74" s="24" t="n">
        <v>2025</v>
      </c>
      <c r="B74" s="25" t="s">
        <v>139</v>
      </c>
      <c r="C74" s="34" t="n">
        <f aca="false">'Ficha de Registro de Datos'!P24</f>
        <v>12.5026732272869</v>
      </c>
      <c r="D74" s="34" t="n">
        <f aca="false">(('Ficha de Registro de Datos'!G23+D68)+('Ficha de Registro de Datos'!G24+'Ficha de Registro de Datos'!H24))/2/'Ficha de Registro de Datos'!N24*360</f>
        <v>12.2221246796085</v>
      </c>
      <c r="E74" s="34" t="n">
        <f aca="false">D74-C74</f>
        <v>-0.280548547678428</v>
      </c>
      <c r="F74" s="29" t="s">
        <v>140</v>
      </c>
    </row>
    <row r="75" customFormat="false" ht="15" hidden="false" customHeight="true" outlineLevel="0" collapsed="false">
      <c r="A75" s="24" t="n">
        <v>2025</v>
      </c>
      <c r="B75" s="25" t="s">
        <v>137</v>
      </c>
      <c r="C75" s="34" t="n">
        <f aca="false">'Ficha de Registro de Datos'!R24</f>
        <v>-15.3114455882171</v>
      </c>
      <c r="D75" s="34" t="n">
        <f aca="false">'Ficha de Registro de Datos'!O24+D74-'Ficha de Registro de Datos'!Q24</f>
        <v>-15.5919941358955</v>
      </c>
      <c r="E75" s="34" t="n">
        <f aca="false">D75-C75</f>
        <v>-0.280548547678428</v>
      </c>
      <c r="F75" s="29" t="s">
        <v>141</v>
      </c>
    </row>
    <row r="77" customFormat="false" ht="39.75" hidden="false" customHeight="true" outlineLevel="0" collapsed="false">
      <c r="A77" s="22" t="s">
        <v>142</v>
      </c>
      <c r="B77" s="22"/>
      <c r="C77" s="22"/>
      <c r="D77" s="22"/>
      <c r="E77" s="22"/>
      <c r="F77" s="22"/>
      <c r="G77" s="22"/>
    </row>
  </sheetData>
  <mergeCells count="3">
    <mergeCell ref="A2:G2"/>
    <mergeCell ref="A63:D63"/>
    <mergeCell ref="A77:G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2026-09-21T13:34:27Z</dcterms:created>
  <dc:creator>openpyxl</dc:creator>
  <dc:description/>
  <dc:language>en-US</dc:language>
  <cp:lastModifiedBy>Eder Cedano Bustos</cp:lastModifiedBy>
  <dcterms:modified xsi:type="dcterms:W3CDTF">2026-09-30T17:22:30Z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