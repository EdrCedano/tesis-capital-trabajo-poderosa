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macbook/Downloads/"/>
    </mc:Choice>
  </mc:AlternateContent>
  <xr:revisionPtr revIDLastSave="0" documentId="13_ncr:1_{E02708CD-9228-F44E-957C-D3F083DE07B8}" xr6:coauthVersionLast="47" xr6:coauthVersionMax="47" xr10:uidLastSave="{00000000-0000-0000-0000-000000000000}"/>
  <bookViews>
    <workbookView xWindow="0" yWindow="500" windowWidth="38400" windowHeight="23500" tabRatio="500" activeTab="4" xr2:uid="{00000000-000D-0000-FFFF-FFFF00000000}"/>
  </bookViews>
  <sheets>
    <sheet name="Situacion Financiera" sheetId="1" r:id="rId1"/>
    <sheet name="Resultados" sheetId="2" r:id="rId2"/>
    <sheet name="Flujos de Efectivo" sheetId="3" r:id="rId3"/>
    <sheet name="Ratios Financieros" sheetId="5" r:id="rId4"/>
    <sheet name="CCE ROA ROE" sheetId="6" r:id="rId5"/>
    <sheet name="Notas y Fuentes" sheetId="4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19" i="6" l="1"/>
  <c r="G19" i="6"/>
  <c r="F19" i="6"/>
  <c r="E19" i="6"/>
  <c r="D19" i="6"/>
  <c r="C19" i="6"/>
  <c r="H14" i="6"/>
  <c r="G14" i="6"/>
  <c r="F14" i="6"/>
  <c r="E14" i="6"/>
  <c r="D14" i="6"/>
  <c r="C14" i="6"/>
  <c r="F9" i="6"/>
  <c r="H8" i="6"/>
  <c r="G8" i="6"/>
  <c r="F8" i="6"/>
  <c r="E8" i="6"/>
  <c r="D8" i="6"/>
  <c r="C8" i="6"/>
  <c r="H7" i="6"/>
  <c r="G7" i="6"/>
  <c r="F7" i="6"/>
  <c r="E7" i="6"/>
  <c r="D7" i="6"/>
  <c r="C7" i="6"/>
  <c r="H6" i="6"/>
  <c r="H9" i="6" s="1"/>
  <c r="G6" i="6"/>
  <c r="G9" i="6" s="1"/>
  <c r="F6" i="6"/>
  <c r="E6" i="6"/>
  <c r="E9" i="6" s="1"/>
  <c r="D6" i="6"/>
  <c r="D9" i="6" s="1"/>
  <c r="C6" i="6"/>
  <c r="C9" i="6" s="1"/>
  <c r="B19" i="6"/>
  <c r="B14" i="6"/>
  <c r="B9" i="6"/>
  <c r="B8" i="6"/>
  <c r="B7" i="6"/>
  <c r="B6" i="6"/>
  <c r="H70" i="5"/>
  <c r="G70" i="5"/>
  <c r="F70" i="5"/>
  <c r="E70" i="5"/>
  <c r="D70" i="5"/>
  <c r="H69" i="5"/>
  <c r="G69" i="5"/>
  <c r="F69" i="5"/>
  <c r="E69" i="5"/>
  <c r="D69" i="5"/>
  <c r="H68" i="5"/>
  <c r="G68" i="5"/>
  <c r="F68" i="5"/>
  <c r="E68" i="5"/>
  <c r="D68" i="5"/>
  <c r="H67" i="5"/>
  <c r="G67" i="5"/>
  <c r="F67" i="5"/>
  <c r="E67" i="5"/>
  <c r="D67" i="5"/>
  <c r="H66" i="5"/>
  <c r="G66" i="5"/>
  <c r="F66" i="5"/>
  <c r="E66" i="5"/>
  <c r="D66" i="5"/>
  <c r="C70" i="5"/>
  <c r="C69" i="5"/>
  <c r="C68" i="5"/>
  <c r="C67" i="5"/>
  <c r="C66" i="5"/>
  <c r="E63" i="5"/>
  <c r="D63" i="5"/>
  <c r="C63" i="5"/>
  <c r="H62" i="5"/>
  <c r="H63" i="5" s="1"/>
  <c r="G62" i="5"/>
  <c r="G63" i="5" s="1"/>
  <c r="F62" i="5"/>
  <c r="F63" i="5" s="1"/>
  <c r="E62" i="5"/>
  <c r="D62" i="5"/>
  <c r="C62" i="5"/>
  <c r="H61" i="5"/>
  <c r="G61" i="5"/>
  <c r="F61" i="5"/>
  <c r="E61" i="5"/>
  <c r="E60" i="5"/>
  <c r="D60" i="5"/>
  <c r="C60" i="5"/>
  <c r="H58" i="5"/>
  <c r="G58" i="5"/>
  <c r="H57" i="5"/>
  <c r="G57" i="5"/>
  <c r="F57" i="5"/>
  <c r="E57" i="5"/>
  <c r="H56" i="5"/>
  <c r="G56" i="5"/>
  <c r="F56" i="5"/>
  <c r="E56" i="5"/>
  <c r="D56" i="5"/>
  <c r="D61" i="5" s="1"/>
  <c r="C56" i="5"/>
  <c r="C61" i="5" s="1"/>
  <c r="H55" i="5"/>
  <c r="H59" i="5" s="1"/>
  <c r="G55" i="5"/>
  <c r="G59" i="5" s="1"/>
  <c r="F55" i="5"/>
  <c r="F58" i="5" s="1"/>
  <c r="E55" i="5"/>
  <c r="E58" i="5" s="1"/>
  <c r="D55" i="5"/>
  <c r="D57" i="5" s="1"/>
  <c r="C55" i="5"/>
  <c r="C57" i="5" s="1"/>
  <c r="H51" i="5"/>
  <c r="G51" i="5"/>
  <c r="F51" i="5"/>
  <c r="E51" i="5"/>
  <c r="D51" i="5"/>
  <c r="C51" i="5"/>
  <c r="D50" i="5"/>
  <c r="C50" i="5"/>
  <c r="E49" i="5"/>
  <c r="D49" i="5"/>
  <c r="D52" i="5" s="1"/>
  <c r="C49" i="5"/>
  <c r="C52" i="5" s="1"/>
  <c r="H46" i="5"/>
  <c r="G46" i="5"/>
  <c r="H45" i="5"/>
  <c r="G45" i="5"/>
  <c r="F45" i="5"/>
  <c r="E45" i="5"/>
  <c r="D45" i="5"/>
  <c r="C45" i="5"/>
  <c r="H44" i="5"/>
  <c r="G44" i="5"/>
  <c r="F44" i="5"/>
  <c r="E44" i="5"/>
  <c r="D44" i="5"/>
  <c r="C44" i="5"/>
  <c r="H43" i="5"/>
  <c r="G43" i="5"/>
  <c r="F43" i="5"/>
  <c r="F46" i="5" s="1"/>
  <c r="E43" i="5"/>
  <c r="E46" i="5" s="1"/>
  <c r="D43" i="5"/>
  <c r="D46" i="5" s="1"/>
  <c r="C43" i="5"/>
  <c r="C46" i="5" s="1"/>
  <c r="H42" i="5"/>
  <c r="H49" i="5" s="1"/>
  <c r="G42" i="5"/>
  <c r="G49" i="5" s="1"/>
  <c r="F42" i="5"/>
  <c r="F49" i="5" s="1"/>
  <c r="E42" i="5"/>
  <c r="D42" i="5"/>
  <c r="C42" i="5"/>
  <c r="F41" i="5"/>
  <c r="E41" i="5"/>
  <c r="H40" i="5"/>
  <c r="G40" i="5"/>
  <c r="F40" i="5"/>
  <c r="E40" i="5"/>
  <c r="D40" i="5"/>
  <c r="C40" i="5"/>
  <c r="H39" i="5"/>
  <c r="G39" i="5"/>
  <c r="F39" i="5"/>
  <c r="E39" i="5"/>
  <c r="D39" i="5"/>
  <c r="C39" i="5"/>
  <c r="H38" i="5"/>
  <c r="H41" i="5" s="1"/>
  <c r="G38" i="5"/>
  <c r="G41" i="5" s="1"/>
  <c r="F38" i="5"/>
  <c r="E38" i="5"/>
  <c r="D38" i="5"/>
  <c r="D41" i="5" s="1"/>
  <c r="C38" i="5"/>
  <c r="C41" i="5" s="1"/>
  <c r="F35" i="5"/>
  <c r="E35" i="5"/>
  <c r="D35" i="5"/>
  <c r="H34" i="5"/>
  <c r="G34" i="5"/>
  <c r="F34" i="5"/>
  <c r="E34" i="5"/>
  <c r="D34" i="5"/>
  <c r="C34" i="5"/>
  <c r="H32" i="5"/>
  <c r="G32" i="5"/>
  <c r="H31" i="5"/>
  <c r="G31" i="5"/>
  <c r="F31" i="5"/>
  <c r="E31" i="5"/>
  <c r="D31" i="5"/>
  <c r="C31" i="5"/>
  <c r="H30" i="5"/>
  <c r="G30" i="5"/>
  <c r="F30" i="5"/>
  <c r="E30" i="5"/>
  <c r="D30" i="5"/>
  <c r="C30" i="5"/>
  <c r="H29" i="5"/>
  <c r="G29" i="5"/>
  <c r="F29" i="5"/>
  <c r="E29" i="5"/>
  <c r="D29" i="5"/>
  <c r="C29" i="5"/>
  <c r="H28" i="5"/>
  <c r="G28" i="5"/>
  <c r="F28" i="5"/>
  <c r="E28" i="5"/>
  <c r="D28" i="5"/>
  <c r="C28" i="5"/>
  <c r="H27" i="5"/>
  <c r="H33" i="5" s="1"/>
  <c r="G27" i="5"/>
  <c r="G33" i="5" s="1"/>
  <c r="F27" i="5"/>
  <c r="F33" i="5" s="1"/>
  <c r="E27" i="5"/>
  <c r="E33" i="5" s="1"/>
  <c r="H26" i="5"/>
  <c r="G26" i="5"/>
  <c r="F26" i="5"/>
  <c r="E26" i="5"/>
  <c r="D26" i="5"/>
  <c r="C26" i="5"/>
  <c r="H25" i="5"/>
  <c r="G25" i="5"/>
  <c r="G60" i="5" s="1"/>
  <c r="F25" i="5"/>
  <c r="F32" i="5" s="1"/>
  <c r="E25" i="5"/>
  <c r="E32" i="5" s="1"/>
  <c r="D25" i="5"/>
  <c r="D27" i="5" s="1"/>
  <c r="D33" i="5" s="1"/>
  <c r="C25" i="5"/>
  <c r="C27" i="5" s="1"/>
  <c r="C33" i="5" s="1"/>
  <c r="H22" i="5"/>
  <c r="G22" i="5"/>
  <c r="F22" i="5"/>
  <c r="E22" i="5"/>
  <c r="D22" i="5"/>
  <c r="C22" i="5"/>
  <c r="H21" i="5"/>
  <c r="H50" i="5" s="1"/>
  <c r="G21" i="5"/>
  <c r="G50" i="5" s="1"/>
  <c r="F21" i="5"/>
  <c r="F50" i="5" s="1"/>
  <c r="E21" i="5"/>
  <c r="E50" i="5" s="1"/>
  <c r="D21" i="5"/>
  <c r="C21" i="5"/>
  <c r="E19" i="5"/>
  <c r="D19" i="5"/>
  <c r="C19" i="5"/>
  <c r="H18" i="5"/>
  <c r="H19" i="5" s="1"/>
  <c r="G18" i="5"/>
  <c r="G19" i="5" s="1"/>
  <c r="F18" i="5"/>
  <c r="F19" i="5" s="1"/>
  <c r="E18" i="5"/>
  <c r="D18" i="5"/>
  <c r="C18" i="5"/>
  <c r="H17" i="5"/>
  <c r="G17" i="5"/>
  <c r="F17" i="5"/>
  <c r="E17" i="5"/>
  <c r="E20" i="5" s="1"/>
  <c r="H16" i="5"/>
  <c r="G16" i="5"/>
  <c r="F16" i="5"/>
  <c r="E16" i="5"/>
  <c r="D16" i="5"/>
  <c r="D17" i="5" s="1"/>
  <c r="D20" i="5" s="1"/>
  <c r="C16" i="5"/>
  <c r="C17" i="5" s="1"/>
  <c r="C20" i="5" s="1"/>
  <c r="E15" i="5"/>
  <c r="D15" i="5"/>
  <c r="C15" i="5"/>
  <c r="H14" i="5"/>
  <c r="H15" i="5" s="1"/>
  <c r="G14" i="5"/>
  <c r="G15" i="5" s="1"/>
  <c r="F14" i="5"/>
  <c r="F15" i="5" s="1"/>
  <c r="E14" i="5"/>
  <c r="D14" i="5"/>
  <c r="C14" i="5"/>
  <c r="H11" i="5"/>
  <c r="G11" i="5"/>
  <c r="F11" i="5"/>
  <c r="E11" i="5"/>
  <c r="H10" i="5"/>
  <c r="G10" i="5"/>
  <c r="F10" i="5"/>
  <c r="E10" i="5"/>
  <c r="D10" i="5"/>
  <c r="D11" i="5" s="1"/>
  <c r="C10" i="5"/>
  <c r="C11" i="5" s="1"/>
  <c r="H9" i="5"/>
  <c r="G9" i="5"/>
  <c r="F9" i="5"/>
  <c r="E9" i="5"/>
  <c r="D9" i="5"/>
  <c r="C9" i="5"/>
  <c r="H8" i="5"/>
  <c r="G8" i="5"/>
  <c r="F8" i="5"/>
  <c r="E8" i="5"/>
  <c r="D8" i="5"/>
  <c r="C8" i="5"/>
  <c r="H7" i="5"/>
  <c r="G7" i="5"/>
  <c r="F7" i="5"/>
  <c r="E7" i="5"/>
  <c r="D7" i="5"/>
  <c r="C7" i="5"/>
  <c r="B63" i="5"/>
  <c r="B62" i="5"/>
  <c r="B61" i="5"/>
  <c r="B60" i="5"/>
  <c r="B59" i="5"/>
  <c r="B58" i="5"/>
  <c r="B57" i="5"/>
  <c r="B56" i="5"/>
  <c r="B55" i="5"/>
  <c r="B52" i="5"/>
  <c r="B51" i="5"/>
  <c r="B50" i="5"/>
  <c r="B49" i="5"/>
  <c r="B46" i="5"/>
  <c r="B45" i="5"/>
  <c r="B44" i="5"/>
  <c r="B43" i="5"/>
  <c r="B42" i="5"/>
  <c r="B41" i="5"/>
  <c r="B40" i="5"/>
  <c r="B39" i="5"/>
  <c r="B38" i="5"/>
  <c r="B35" i="5"/>
  <c r="B34" i="5"/>
  <c r="B33" i="5"/>
  <c r="B32" i="5"/>
  <c r="B31" i="5"/>
  <c r="B30" i="5"/>
  <c r="B29" i="5"/>
  <c r="B28" i="5"/>
  <c r="B27" i="5"/>
  <c r="B26" i="5"/>
  <c r="B25" i="5"/>
  <c r="B22" i="5"/>
  <c r="B21" i="5"/>
  <c r="B20" i="5"/>
  <c r="B19" i="5"/>
  <c r="B18" i="5"/>
  <c r="B17" i="5"/>
  <c r="B16" i="5"/>
  <c r="B15" i="5"/>
  <c r="B14" i="5"/>
  <c r="B11" i="5"/>
  <c r="B10" i="5"/>
  <c r="B9" i="5"/>
  <c r="B8" i="5"/>
  <c r="B7" i="5"/>
  <c r="H52" i="3"/>
  <c r="G52" i="3"/>
  <c r="F52" i="3"/>
  <c r="E52" i="3"/>
  <c r="D52" i="3"/>
  <c r="C52" i="3"/>
  <c r="B52" i="3"/>
  <c r="H43" i="3"/>
  <c r="G43" i="3"/>
  <c r="F43" i="3"/>
  <c r="E43" i="3"/>
  <c r="D43" i="3"/>
  <c r="C43" i="3"/>
  <c r="B43" i="3"/>
  <c r="G30" i="2"/>
  <c r="C30" i="2"/>
  <c r="H29" i="2"/>
  <c r="G29" i="2"/>
  <c r="F29" i="2"/>
  <c r="B29" i="2"/>
  <c r="H20" i="2"/>
  <c r="G20" i="2"/>
  <c r="G22" i="2" s="1"/>
  <c r="G25" i="2" s="1"/>
  <c r="F20" i="2"/>
  <c r="E20" i="2"/>
  <c r="D20" i="2"/>
  <c r="C20" i="2"/>
  <c r="B20" i="2"/>
  <c r="G15" i="2"/>
  <c r="F15" i="2"/>
  <c r="F30" i="2" s="1"/>
  <c r="C15" i="2"/>
  <c r="C22" i="2" s="1"/>
  <c r="C25" i="2" s="1"/>
  <c r="B15" i="2"/>
  <c r="B22" i="2" s="1"/>
  <c r="B25" i="2" s="1"/>
  <c r="H8" i="2"/>
  <c r="H15" i="2" s="1"/>
  <c r="G8" i="2"/>
  <c r="F8" i="2"/>
  <c r="E8" i="2"/>
  <c r="E29" i="2" s="1"/>
  <c r="D8" i="2"/>
  <c r="D29" i="2" s="1"/>
  <c r="C8" i="2"/>
  <c r="C29" i="2" s="1"/>
  <c r="B8" i="2"/>
  <c r="H56" i="1"/>
  <c r="G56" i="1"/>
  <c r="F56" i="1"/>
  <c r="E56" i="1"/>
  <c r="D56" i="1"/>
  <c r="C56" i="1"/>
  <c r="B56" i="1"/>
  <c r="H47" i="1"/>
  <c r="G47" i="1"/>
  <c r="G49" i="1" s="1"/>
  <c r="G58" i="1" s="1"/>
  <c r="F47" i="1"/>
  <c r="E47" i="1"/>
  <c r="D47" i="1"/>
  <c r="C47" i="1"/>
  <c r="B47" i="1"/>
  <c r="H39" i="1"/>
  <c r="H49" i="1" s="1"/>
  <c r="H58" i="1" s="1"/>
  <c r="G39" i="1"/>
  <c r="F39" i="1"/>
  <c r="F49" i="1" s="1"/>
  <c r="F58" i="1" s="1"/>
  <c r="E39" i="1"/>
  <c r="E49" i="1" s="1"/>
  <c r="E58" i="1" s="1"/>
  <c r="D39" i="1"/>
  <c r="D49" i="1" s="1"/>
  <c r="D58" i="1" s="1"/>
  <c r="C39" i="1"/>
  <c r="C49" i="1" s="1"/>
  <c r="C58" i="1" s="1"/>
  <c r="B39" i="1"/>
  <c r="B49" i="1" s="1"/>
  <c r="B58" i="1" s="1"/>
  <c r="E25" i="1"/>
  <c r="D25" i="1"/>
  <c r="D60" i="1" s="1"/>
  <c r="H23" i="1"/>
  <c r="G23" i="1"/>
  <c r="F23" i="1"/>
  <c r="E23" i="1"/>
  <c r="D23" i="1"/>
  <c r="C23" i="1"/>
  <c r="C25" i="1" s="1"/>
  <c r="C60" i="1" s="1"/>
  <c r="B23" i="1"/>
  <c r="H14" i="1"/>
  <c r="H25" i="1" s="1"/>
  <c r="H60" i="1" s="1"/>
  <c r="G14" i="1"/>
  <c r="G25" i="1" s="1"/>
  <c r="F14" i="1"/>
  <c r="F25" i="1" s="1"/>
  <c r="F60" i="1" s="1"/>
  <c r="E14" i="1"/>
  <c r="D14" i="1"/>
  <c r="C14" i="1"/>
  <c r="B14" i="1"/>
  <c r="B25" i="1" s="1"/>
  <c r="B60" i="1" s="1"/>
  <c r="F52" i="5" l="1"/>
  <c r="F20" i="5"/>
  <c r="G52" i="5"/>
  <c r="E52" i="5"/>
  <c r="G20" i="5"/>
  <c r="H52" i="5"/>
  <c r="H20" i="5"/>
  <c r="C59" i="5"/>
  <c r="G35" i="5"/>
  <c r="H35" i="5"/>
  <c r="D59" i="5"/>
  <c r="F60" i="5"/>
  <c r="C32" i="5"/>
  <c r="C58" i="5"/>
  <c r="E59" i="5"/>
  <c r="D32" i="5"/>
  <c r="D58" i="5"/>
  <c r="F59" i="5"/>
  <c r="H60" i="5"/>
  <c r="C35" i="5"/>
  <c r="H22" i="2"/>
  <c r="H25" i="2" s="1"/>
  <c r="H30" i="2"/>
  <c r="B31" i="2"/>
  <c r="B7" i="3"/>
  <c r="B29" i="3" s="1"/>
  <c r="B33" i="3" s="1"/>
  <c r="B54" i="3" s="1"/>
  <c r="B58" i="3" s="1"/>
  <c r="B60" i="3" s="1"/>
  <c r="C31" i="2"/>
  <c r="C7" i="3"/>
  <c r="C29" i="3" s="1"/>
  <c r="C33" i="3" s="1"/>
  <c r="C54" i="3" s="1"/>
  <c r="C58" i="3" s="1"/>
  <c r="C60" i="3" s="1"/>
  <c r="G60" i="1"/>
  <c r="G31" i="2"/>
  <c r="G7" i="3"/>
  <c r="G29" i="3" s="1"/>
  <c r="G33" i="3" s="1"/>
  <c r="G54" i="3" s="1"/>
  <c r="G58" i="3" s="1"/>
  <c r="G60" i="3" s="1"/>
  <c r="E60" i="1"/>
  <c r="D15" i="2"/>
  <c r="F22" i="2"/>
  <c r="F25" i="2" s="1"/>
  <c r="E15" i="2"/>
  <c r="B30" i="2"/>
  <c r="F31" i="2" l="1"/>
  <c r="F7" i="3"/>
  <c r="F29" i="3" s="1"/>
  <c r="F33" i="3" s="1"/>
  <c r="F54" i="3" s="1"/>
  <c r="F58" i="3" s="1"/>
  <c r="F60" i="3" s="1"/>
  <c r="D22" i="2"/>
  <c r="D25" i="2" s="1"/>
  <c r="D30" i="2"/>
  <c r="E30" i="2"/>
  <c r="E22" i="2"/>
  <c r="E25" i="2" s="1"/>
  <c r="H31" i="2"/>
  <c r="H7" i="3"/>
  <c r="H29" i="3" s="1"/>
  <c r="H33" i="3" s="1"/>
  <c r="H54" i="3" s="1"/>
  <c r="H58" i="3" s="1"/>
  <c r="H60" i="3" s="1"/>
  <c r="E31" i="2" l="1"/>
  <c r="E7" i="3"/>
  <c r="E29" i="3" s="1"/>
  <c r="E33" i="3" s="1"/>
  <c r="E54" i="3" s="1"/>
  <c r="E58" i="3" s="1"/>
  <c r="E60" i="3" s="1"/>
  <c r="D31" i="2"/>
  <c r="D7" i="3"/>
  <c r="D29" i="3" s="1"/>
  <c r="D33" i="3" s="1"/>
  <c r="D54" i="3" s="1"/>
  <c r="D58" i="3" s="1"/>
  <c r="D60" i="3" s="1"/>
</calcChain>
</file>

<file path=xl/sharedStrings.xml><?xml version="1.0" encoding="utf-8"?>
<sst xmlns="http://schemas.openxmlformats.org/spreadsheetml/2006/main" count="239" uniqueCount="224">
  <si>
    <t>COMPAÑÍA MINERA PODEROSA S.A.</t>
  </si>
  <si>
    <t>Estado Separado de Situación Financiera (al 31 de diciembre)</t>
  </si>
  <si>
    <t>Estados financieros separados (individuales) — Cifras en miles de soles (S/000) — NIIF</t>
  </si>
  <si>
    <t>Cuenta</t>
  </si>
  <si>
    <t>ACTIVO</t>
  </si>
  <si>
    <t>Activo corriente</t>
  </si>
  <si>
    <t xml:space="preserve">  Efectivo y equivalentes de efectivo</t>
  </si>
  <si>
    <t xml:space="preserve">  Otros activos financieros (depósitos &gt; 90 días)</t>
  </si>
  <si>
    <t xml:space="preserve">  Cuentas por cobrar comerciales</t>
  </si>
  <si>
    <t xml:space="preserve">  Otras cuentas por cobrar</t>
  </si>
  <si>
    <t xml:space="preserve">  Inventarios</t>
  </si>
  <si>
    <t xml:space="preserve">  Gastos contratados por anticipado</t>
  </si>
  <si>
    <t>Total activo corriente</t>
  </si>
  <si>
    <t>Activo no corriente</t>
  </si>
  <si>
    <t xml:space="preserve">  Otras cuentas por cobrar (no corriente)</t>
  </si>
  <si>
    <t xml:space="preserve">  Inversiones en subsidiarias y asociadas</t>
  </si>
  <si>
    <t xml:space="preserve">  Gastos contratados por anticipado (no corriente)</t>
  </si>
  <si>
    <t xml:space="preserve">  Propiedades, planta y equipo</t>
  </si>
  <si>
    <t xml:space="preserve">  Activos por derecho de uso</t>
  </si>
  <si>
    <t xml:space="preserve">  Activos intangibles</t>
  </si>
  <si>
    <t>Total activo no corriente</t>
  </si>
  <si>
    <t>TOTAL ACTIVO</t>
  </si>
  <si>
    <t>PASIVO</t>
  </si>
  <si>
    <t>Pasivo corriente</t>
  </si>
  <si>
    <t xml:space="preserve">  Cuentas por pagar comerciales</t>
  </si>
  <si>
    <t xml:space="preserve">  Otras cuentas por pagar</t>
  </si>
  <si>
    <t xml:space="preserve">  Pasivo por impuesto a las ganancias</t>
  </si>
  <si>
    <t xml:space="preserve">  Otros pasivos financieros</t>
  </si>
  <si>
    <t xml:space="preserve">  Pasivos por arrendamiento</t>
  </si>
  <si>
    <t xml:space="preserve">  Beneficios a los empleados</t>
  </si>
  <si>
    <t xml:space="preserve">  Provisiones</t>
  </si>
  <si>
    <t xml:space="preserve">  Instrumentos financieros derivados</t>
  </si>
  <si>
    <t xml:space="preserve">  Parte corriente provisión cierre de minas / remediación</t>
  </si>
  <si>
    <t>Total pasivo corriente</t>
  </si>
  <si>
    <t>Pasivo no corriente</t>
  </si>
  <si>
    <t xml:space="preserve">  Otras cuentas por pagar (no corriente)</t>
  </si>
  <si>
    <t xml:space="preserve">  Otros pasivos financieros (no corriente)</t>
  </si>
  <si>
    <t xml:space="preserve">  Pasivos por arrendamiento (no corriente)</t>
  </si>
  <si>
    <t xml:space="preserve">  Provisión cierre de minas / remediación ambiental (no corriente)</t>
  </si>
  <si>
    <t xml:space="preserve">  Pasivo por impuestos diferidos</t>
  </si>
  <si>
    <t>Total pasivo no corriente</t>
  </si>
  <si>
    <t>TOTAL PASIVO</t>
  </si>
  <si>
    <t>PATRIMONIO</t>
  </si>
  <si>
    <t xml:space="preserve">  Capital emitido</t>
  </si>
  <si>
    <t xml:space="preserve">  Otras reservas de capital</t>
  </si>
  <si>
    <t xml:space="preserve">  Resultados acumulados</t>
  </si>
  <si>
    <t>Total patrimonio</t>
  </si>
  <si>
    <t>TOTAL PASIVO Y PATRIMONIO</t>
  </si>
  <si>
    <t>Verificación: Activo - (Pasivo + Patrimonio) [debe ser 0]</t>
  </si>
  <si>
    <t>Estado Separado de Resultados y Otros Resultados Integrales (por el año terminado el 31 de diciembre)</t>
  </si>
  <si>
    <t>Ingresos de actividades ordinarias</t>
  </si>
  <si>
    <t>Costo de ventas</t>
  </si>
  <si>
    <t>Ganancia bruta</t>
  </si>
  <si>
    <t>Ingresos (gastos) de operación</t>
  </si>
  <si>
    <t xml:space="preserve">  Gastos de venta</t>
  </si>
  <si>
    <t xml:space="preserve">  Gastos de administración</t>
  </si>
  <si>
    <t xml:space="preserve">  Otros ingresos</t>
  </si>
  <si>
    <t xml:space="preserve">  Otros gastos</t>
  </si>
  <si>
    <t>Resultado de actividades de operación (utilidad operativa)</t>
  </si>
  <si>
    <t>Ingresos (gastos) financieros</t>
  </si>
  <si>
    <t xml:space="preserve">  Ingresos financieros</t>
  </si>
  <si>
    <t xml:space="preserve">  Costos financieros</t>
  </si>
  <si>
    <t>Costo financiero neto</t>
  </si>
  <si>
    <t>Utilidad antes de impuestos</t>
  </si>
  <si>
    <t>Gasto por impuesto a las ganancias</t>
  </si>
  <si>
    <t>UTILIDAD NETA (Resultado del período)</t>
  </si>
  <si>
    <t>Ganancia básica por acción común (S/)</t>
  </si>
  <si>
    <t>Margen bruto (%)</t>
  </si>
  <si>
    <t>Margen operativo (%)</t>
  </si>
  <si>
    <t>Margen neto (%)</t>
  </si>
  <si>
    <t>Estado Separado de Flujos de Efectivo (por el año terminado el 31 de diciembre) — Método indirecto</t>
  </si>
  <si>
    <t>ACTIVIDADES DE OPERACIÓN</t>
  </si>
  <si>
    <t xml:space="preserve">  Resultado del período (= Utilidad neta, ver hoja Resultados)</t>
  </si>
  <si>
    <t>Cargos (abonos) a resultado que no representan movimiento de efectivo</t>
  </si>
  <si>
    <t xml:space="preserve">  Depreciación</t>
  </si>
  <si>
    <t xml:space="preserve">  Amortización</t>
  </si>
  <si>
    <t xml:space="preserve">  Estimación por deterioro de otras cuentas por cobrar</t>
  </si>
  <si>
    <t xml:space="preserve">  Provisión para desvalorización de suministros</t>
  </si>
  <si>
    <t xml:space="preserve">  Recuperación de cuentas incobrables</t>
  </si>
  <si>
    <t xml:space="preserve">  Provisión por litigios</t>
  </si>
  <si>
    <t xml:space="preserve">  Impuesto a las ganancias diferido</t>
  </si>
  <si>
    <t xml:space="preserve">  Gastos de actualización de la provisión para cierre de minas</t>
  </si>
  <si>
    <t xml:space="preserve">  Pérdida (ganancia) en venta de PP&amp;E, neto</t>
  </si>
  <si>
    <t xml:space="preserve">  Impuesto a las ganancias (gasto del período)</t>
  </si>
  <si>
    <t xml:space="preserve">  Diferencia en cambio</t>
  </si>
  <si>
    <t xml:space="preserve">  Costos financieros netos (devengados)</t>
  </si>
  <si>
    <t>Cambios netos en activos y pasivos operativos</t>
  </si>
  <si>
    <t xml:space="preserve">  (Aumento) disminución de cuentas por cobrar comerciales</t>
  </si>
  <si>
    <t xml:space="preserve">  (Aumento) disminución de otras cuentas por cobrar</t>
  </si>
  <si>
    <t xml:space="preserve">  (Aumento) disminución de inventarios</t>
  </si>
  <si>
    <t xml:space="preserve">  Aumento (disminución) de gastos contratados por anticipado</t>
  </si>
  <si>
    <t xml:space="preserve">  Aumento (disminución) de cuentas por pagar comerciales</t>
  </si>
  <si>
    <t xml:space="preserve">  Aumento (disminución) de otras cuentas por pagar</t>
  </si>
  <si>
    <t xml:space="preserve">  Pago de obligaciones por cierre de unidad minera</t>
  </si>
  <si>
    <t>Efectivo generado por las actividades de operación</t>
  </si>
  <si>
    <t>Intereses pagados</t>
  </si>
  <si>
    <t>Impuesto a las ganancias pagado</t>
  </si>
  <si>
    <t>FLUJO NETO PROVISTO POR ACTIVIDADES DE OPERACIÓN (CFO)</t>
  </si>
  <si>
    <t>ACTIVIDADES DE INVERSIÓN</t>
  </si>
  <si>
    <t xml:space="preserve">  Cobranza de depósitos a plazos &gt; 90 días</t>
  </si>
  <si>
    <t xml:space="preserve">  Apertura de depósitos a plazos &gt; 90 días</t>
  </si>
  <si>
    <t xml:space="preserve">  Cobro por venta de propiedades, planta y equipo</t>
  </si>
  <si>
    <t xml:space="preserve">  Pago por compra de acciones (subsidiarias)</t>
  </si>
  <si>
    <t xml:space="preserve">  Pago por compra de activos intangibles</t>
  </si>
  <si>
    <t xml:space="preserve">  Pago por compra de propiedades, planta y equipo</t>
  </si>
  <si>
    <t>FLUJO NETO UTILIZADO EN ACTIVIDADES DE INVERSIÓN (CFI)</t>
  </si>
  <si>
    <t>ACTIVIDADES DE FINANCIAMIENTO</t>
  </si>
  <si>
    <t xml:space="preserve">  Obtención de préstamos</t>
  </si>
  <si>
    <t xml:space="preserve">  Pago de préstamos bancarios de corto plazo</t>
  </si>
  <si>
    <t xml:space="preserve">  Pago de préstamos bancarios de largo plazo</t>
  </si>
  <si>
    <t xml:space="preserve">  Pago de arrendamientos financieros</t>
  </si>
  <si>
    <t xml:space="preserve">  Pago de dividendos</t>
  </si>
  <si>
    <t>FLUJO NETO UTILIZADO EN ACTIVIDADES DE FINANCIAMIENTO (CFF)</t>
  </si>
  <si>
    <t>Variación neta de efectivo y equivalentes de efectivo</t>
  </si>
  <si>
    <t>Efectivo y equivalentes al efectivo al inicio del año</t>
  </si>
  <si>
    <t>Efecto de las variaciones en el tipo de cambio</t>
  </si>
  <si>
    <t>EFECTIVO Y EQUIVALENTES AL EFECTIVO AL FINAL DEL AÑO</t>
  </si>
  <si>
    <t>Verificación: Efectivo final (Flujos) − Efectivo (Situación Financiera) [debe ser 0]</t>
  </si>
  <si>
    <t>Notas metodológicas, fuentes documentales y observaciones de un CFA Charterholder</t>
  </si>
  <si>
    <t>Fuentes por año fiscal (archivo PDF cargado por el usuario)</t>
  </si>
  <si>
    <t>2019</t>
  </si>
  <si>
    <t>memoria2020.pdf — Memoria/Informe Anual de Sostenibilidad 2020 (columna comparativa 2019), páginas de Estados Financieros separados auditados. No se cargó un EEFF individual de 2019; se usó el comparativo del informe 2020, que es el propio ejercicio auditado para 2019.</t>
  </si>
  <si>
    <t>2020</t>
  </si>
  <si>
    <t>memoria2020.pdf — Estado Separado de Situación Financiera, de Resultados y de Flujos de Efectivo al 31/12/2020, dictaminados por auditor independiente (opinión sin salvedades).</t>
  </si>
  <si>
    <t>2021</t>
  </si>
  <si>
    <t>estadosfinancieros2021.pdf — EEFF Separados auditados al 31/12/2021 (columna corriente).</t>
  </si>
  <si>
    <t>2022</t>
  </si>
  <si>
    <t>estadosfinancieros2022.pdf — EEFF Separados auditados al 31/12/2022 (columna corriente). Se usó el reporte propio del ejercicio 2022, no el comparativo del informe 2023 (ver reclasificaciones abajo).</t>
  </si>
  <si>
    <t>2023</t>
  </si>
  <si>
    <t>estadosfinancieros2023.pdf — EEFF Separados auditados al 31/12/2023 (columna corriente).</t>
  </si>
  <si>
    <t>2024</t>
  </si>
  <si>
    <t>estadosfinancieros2024.pdf — EEFF Separados auditados al 31/12/2024 (columna corriente). Se usó el reporte propio del ejercicio 2024, no el comparativo del informe 2025 (ver reclasificaciones abajo).</t>
  </si>
  <si>
    <t>2025</t>
  </si>
  <si>
    <t>estadosfinancieros2025.pdf — EEFF Separados auditados al 31/12/2025 (columna corriente).</t>
  </si>
  <si>
    <t>Criterio de selección de la fuente</t>
  </si>
  <si>
    <t>Para cada año se utilizó el Estado Financiero Separado tal como fue emitido y dictaminado para ese ejercicio específico (columna 'año corriente' de su propio reporte auditado), y no la columna comparativa que aparece en el reporte del año siguiente. Esto es consistente con la práctica de un analista CFA: la cifra originalmente auditada de cada cierre es la fuente primaria; las cifras comparativas de reportes posteriores pueden incorporar reclasificaciones de presentación (sin afectar los totales) que conviene documentar por separado en lugar de mezclar bases.</t>
  </si>
  <si>
    <t>Reclasificaciones detectadas entre reportes consecutivos</t>
  </si>
  <si>
    <t>2022 → 2023</t>
  </si>
  <si>
    <t>El informe de 2023 reclasifica ~S/56.8 MM entre 'Cuentas por pagar comerciales' y 'Otras cuentas por pagar' del saldo 2022 (2022 propio: 103,394 / 127,512; comparativo en informe 2023: 160,155 / 70,751). El Total pasivo corriente 2022 (389,520) no se ve afectado.</t>
  </si>
  <si>
    <t>2024 → 2025</t>
  </si>
  <si>
    <t>El informe de 2025 reclasifica ~S/7.1 MM de 'Gastos contratados por anticipado' de corriente a no corriente, y separa ~S/5.4 MM de 'Otras cuentas por cobrar' hacia 'Activo por impuesto a las ganancias' del saldo 2024 (2024 propio: activo corriente 382,650; comparativo en informe 2025: 375,566, con el mismo Total activo 2,542,791). Asimismo, el CFI 2024 cambia de -733,532 (propio) a -727,646 (comparativo) por una reclasificación menor entre compras de intangibles y de PP&amp;E; se preservó la cifra del reporte propio de 2024.</t>
  </si>
  <si>
    <t>Controles de calidad aplicados</t>
  </si>
  <si>
    <t>1) Cuadre contable: Total Activo = Total Pasivo + Patrimonio verificado en los 7 años (diferencia = 0 en la fila de verificación de la hoja 'Situacion Financiera').</t>
  </si>
  <si>
    <t>2) Puente de utilidad neta: la fila 'Resultado del período' del Estado de Flujos de Efectivo está enlazada por fórmula a la Utilidad Neta del Estado de Resultados (no se reescribió el valor).</t>
  </si>
  <si>
    <t>3) Conciliación de caja: el saldo 'Efectivo y equivalentes al final del año' del Estado de Flujos de Efectivo fue verificado contra el efectivo reportado en el Estado de Situación Financiera para los 7 años (fila de verificación con fórmula cruzada entre hojas).</t>
  </si>
  <si>
    <t>4) Encadenamiento interanual: el saldo inicial de efectivo de cada año coincide con el saldo final del año anterior en los 7 ejercicios.</t>
  </si>
  <si>
    <t>5) Todas las cifras están en miles de soles (S/000), moneda funcional y de presentación de la Compañía, sin ajustar por inflación ni reexpresión.</t>
  </si>
  <si>
    <t>Alcance</t>
  </si>
  <si>
    <t>Estados financieros SEPARADOS (individuales) de Compañía Minera Poderosa S.A., preparados bajo NIIF (IFRS), en soles peruanos (S/), no auditados por Claude — transcritos y verificados aritméticamente a partir de los PDF cargados por el usuario. No incluye estados financieros consolidados (con subsidiarias), los cuales la propia Compañía indica que se presentan por separado en cada informe.</t>
  </si>
  <si>
    <t>Análisis de Ratios Financieros 2019–2025</t>
  </si>
  <si>
    <t>Calculado sobre los estados financieros separados (S/000). Saldos de balance a fin de período.</t>
  </si>
  <si>
    <t>Indicador</t>
  </si>
  <si>
    <t>LIQUIDEZ</t>
  </si>
  <si>
    <t>Razón corriente (x)</t>
  </si>
  <si>
    <t>Prueba ácida (x)</t>
  </si>
  <si>
    <t>Razón de efectivo (x)</t>
  </si>
  <si>
    <t>Capital de trabajo (S/000)</t>
  </si>
  <si>
    <t>Capital de trabajo / Ventas (%)</t>
  </si>
  <si>
    <t>GESTIÓN / ACTIVIDAD</t>
  </si>
  <si>
    <t>Rotación de cuentas por cobrar (x)</t>
  </si>
  <si>
    <t>Días de cobro</t>
  </si>
  <si>
    <t>Rotación de inventarios (x)</t>
  </si>
  <si>
    <t>Días de inventario</t>
  </si>
  <si>
    <t>Rotación de cuentas por pagar (x)</t>
  </si>
  <si>
    <t>Días de pago</t>
  </si>
  <si>
    <t>Ciclo de conversión de efectivo (días)</t>
  </si>
  <si>
    <t>Rotación de activos totales (x)</t>
  </si>
  <si>
    <t>Rotación de activo fijo – PP&amp;E (x)</t>
  </si>
  <si>
    <t>ENDEUDAMIENTO Y SOLVENCIA</t>
  </si>
  <si>
    <t>Deuda financiera total (S/000)</t>
  </si>
  <si>
    <t>Efectivo y depósitos (S/000)</t>
  </si>
  <si>
    <t>Deuda financiera neta (S/000)</t>
  </si>
  <si>
    <t>Pasivo total / Activo total (%)</t>
  </si>
  <si>
    <t>Pasivo total / Patrimonio (x)</t>
  </si>
  <si>
    <t>Patrimonio / Activo total (%)</t>
  </si>
  <si>
    <t>Pasivo corriente / Pasivo total (%)</t>
  </si>
  <si>
    <t>Deuda financiera / EBITDA (x)</t>
  </si>
  <si>
    <t>Deuda financiera neta / EBITDA (x)</t>
  </si>
  <si>
    <t>Cobertura de intereses – EBIT (x)</t>
  </si>
  <si>
    <t>Cobertura de intereses – EBITDA (x)</t>
  </si>
  <si>
    <t>RENTABILIDAD</t>
  </si>
  <si>
    <t>EBITDA (S/000)</t>
  </si>
  <si>
    <t>Margen EBITDA (%)</t>
  </si>
  <si>
    <t>Tasa efectiva de impuestos (%)</t>
  </si>
  <si>
    <t>ROA – Utilidad neta / Activo total (%)</t>
  </si>
  <si>
    <t>ROE – Utilidad neta / Patrimonio (%)</t>
  </si>
  <si>
    <t>ROIC – NOPAT / capital invertido (%)</t>
  </si>
  <si>
    <t>DESCOMPOSICIÓN DUPONT</t>
  </si>
  <si>
    <t>Rotación de activos (x)</t>
  </si>
  <si>
    <t>Apalancamiento financiero – Activo/Patrimonio (x)</t>
  </si>
  <si>
    <t>ROE (verificación) (%)</t>
  </si>
  <si>
    <t>FLUJO DE CAJA</t>
  </si>
  <si>
    <t>Flujo de caja operativo – CFO (S/000)</t>
  </si>
  <si>
    <t>Capex – PP&amp;E + intangibles (S/000)</t>
  </si>
  <si>
    <t>Flujo de caja libre (CFO − Capex) (S/000)</t>
  </si>
  <si>
    <t>CFO / Ventas (%)</t>
  </si>
  <si>
    <t>CFO / Pasivo corriente (x)</t>
  </si>
  <si>
    <t>CFO / Deuda financiera total (x)</t>
  </si>
  <si>
    <t>Capex / Depreciación y amortización (x)</t>
  </si>
  <si>
    <t>Dividendos pagados (S/000)</t>
  </si>
  <si>
    <t>Payout – Dividendos / Utilidad neta (%)</t>
  </si>
  <si>
    <t>CRECIMIENTO ANUAL</t>
  </si>
  <si>
    <t>Ventas (%)</t>
  </si>
  <si>
    <t>EBITDA (%)</t>
  </si>
  <si>
    <t>Utilidad neta (%)</t>
  </si>
  <si>
    <t>Activo total (%)</t>
  </si>
  <si>
    <t>Patrimonio (%)</t>
  </si>
  <si>
    <t>Notas metodológicas:</t>
  </si>
  <si>
    <t>1) Ratios calculados con saldos de cierre (no promedios), para mantener comparabilidad en todos los años incluido 2019.</t>
  </si>
  <si>
    <t>2) EBITDA = utilidad operativa + depreciación + amortización (tomadas del estado de flujos de efectivo).</t>
  </si>
  <si>
    <t>3) Deuda financiera = otros pasivos financieros + pasivos por arrendamiento (corriente y no corriente). Deuda neta descuenta efectivo y depósitos &gt;90 días.</t>
  </si>
  <si>
    <t>4) Rotaciones de inventario y de cuentas por pagar se calculan sobre el costo de ventas; la de cuentas por cobrar sobre los ingresos.</t>
  </si>
  <si>
    <t>5) ROIC = utilidad operativa × (1 − tasa efectiva de impuestos) / (deuda financiera + patrimonio).</t>
  </si>
  <si>
    <t>COMPAÑÍA MINERA PODEROSA S.A. — CCE, ROA y ROE (2019–2025)</t>
  </si>
  <si>
    <t>Calculado sobre los estados financieros separados (S/000), saldos de cierre. CCE = PPI + PPC − PPP</t>
  </si>
  <si>
    <t>CICLO DE CONVERSIÓN DE EFECTIVO (días)</t>
  </si>
  <si>
    <t>PPI – Periodo promedio de inventarios</t>
  </si>
  <si>
    <t>PPC – Periodo promedio de cobro</t>
  </si>
  <si>
    <t>PPP – Periodo promedio de pago</t>
  </si>
  <si>
    <t>CCE – Ciclo de conversión de efectivo</t>
  </si>
  <si>
    <t>ROA – RENTABILIDAD SOBRE ACTIVOS (Utilidad neta / Activo total)</t>
  </si>
  <si>
    <t>ROA</t>
  </si>
  <si>
    <t>ROE – RENTABILIDAD SOBRE PATRIMONIO (Utilidad neta / Patrimonio)</t>
  </si>
  <si>
    <t>ROE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</si>
</sst>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;\(#,##0\);\-"/>
    <numFmt numFmtId="165" formatCode="0.000"/>
    <numFmt numFmtId="166" formatCode="0.0%"/>
    <numFmt numFmtId="167" formatCode="0.00&quot;x&quot;;\(0.00&quot;x&quot;\);\-"/>
    <numFmt numFmtId="168" formatCode="0.0%;\(0.0%\);\-"/>
    <numFmt numFmtId="169" formatCode="0.0;\(0.0\);\-"/>
  </numFmts>
  <fonts count="19" x14ac:knownFonts="1">
    <font>
      <sz val="11"/>
      <color theme="1"/>
      <name val="Calibri"/>
      <family val="2"/>
      <charset val="1"/>
    </font>
    <font>
      <b/>
      <sz val="13"/>
      <color rgb="FF1F4E78"/>
      <name val="Arial"/>
      <family val="2"/>
    </font>
    <font>
      <b/>
      <sz val="11"/>
      <name val="Arial"/>
      <family val="2"/>
    </font>
    <font>
      <i/>
      <sz val="9"/>
      <color rgb="FF595959"/>
      <name val="Arial"/>
      <family val="2"/>
    </font>
    <font>
      <b/>
      <sz val="10"/>
      <color rgb="FFFFFFFF"/>
      <name val="Arial"/>
      <family val="2"/>
    </font>
    <font>
      <b/>
      <sz val="10"/>
      <color rgb="FF1F4E7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i/>
      <sz val="9"/>
      <color rgb="FF808080"/>
      <name val="Arial"/>
      <family val="2"/>
    </font>
    <font>
      <sz val="10"/>
      <color rgb="FF008000"/>
      <name val="Arial"/>
      <family val="2"/>
    </font>
    <font>
      <b/>
      <sz val="11"/>
      <color rgb="FF1F4E78"/>
      <name val="Arial"/>
      <family val="2"/>
    </font>
    <font>
      <sz val="9"/>
      <color theme="1"/>
      <name val="Calibri"/>
      <family val="2"/>
      <charset val="1"/>
    </font>
    <font>
      <b/>
      <sz val="14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i/>
      <sz val="9"/>
      <color theme="1"/>
      <name val="Calibri"/>
      <family val="2"/>
    </font>
    <font>
      <b/>
      <sz val="11"/>
      <color rgb="FFFFFFFF"/>
      <name val="Calibri"/>
      <family val="2"/>
    </font>
    <font>
      <sz val="9"/>
      <color theme="1"/>
      <name val="Calibri"/>
      <family val="2"/>
    </font>
    <font>
      <b/>
      <sz val="9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FFF2CC"/>
        <bgColor rgb="FFF2F2F2"/>
      </patternFill>
    </fill>
    <fill>
      <patternFill patternType="solid">
        <fgColor rgb="FF1F3864"/>
        <bgColor indexed="64"/>
      </patternFill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5" fillId="3" borderId="0" xfId="0" applyFont="1" applyFill="1"/>
    <xf numFmtId="0" fontId="0" fillId="3" borderId="0" xfId="0" applyFill="1"/>
    <xf numFmtId="0" fontId="6" fillId="0" borderId="0" xfId="0" applyFont="1"/>
    <xf numFmtId="164" fontId="6" fillId="0" borderId="0" xfId="0" applyNumberFormat="1" applyFont="1"/>
    <xf numFmtId="0" fontId="7" fillId="4" borderId="1" xfId="0" applyFont="1" applyFill="1" applyBorder="1"/>
    <xf numFmtId="164" fontId="7" fillId="4" borderId="1" xfId="0" applyNumberFormat="1" applyFont="1" applyFill="1" applyBorder="1"/>
    <xf numFmtId="0" fontId="7" fillId="3" borderId="1" xfId="0" applyFont="1" applyFill="1" applyBorder="1"/>
    <xf numFmtId="164" fontId="7" fillId="3" borderId="1" xfId="0" applyNumberFormat="1" applyFont="1" applyFill="1" applyBorder="1"/>
    <xf numFmtId="0" fontId="6" fillId="5" borderId="0" xfId="0" applyFont="1" applyFill="1"/>
    <xf numFmtId="164" fontId="6" fillId="5" borderId="0" xfId="0" applyNumberFormat="1" applyFont="1" applyFill="1"/>
    <xf numFmtId="165" fontId="6" fillId="0" borderId="0" xfId="0" applyNumberFormat="1" applyFont="1"/>
    <xf numFmtId="0" fontId="8" fillId="0" borderId="0" xfId="0" applyFont="1"/>
    <xf numFmtId="166" fontId="8" fillId="0" borderId="0" xfId="0" applyNumberFormat="1" applyFont="1"/>
    <xf numFmtId="164" fontId="9" fillId="0" borderId="0" xfId="0" applyNumberFormat="1" applyFont="1"/>
    <xf numFmtId="0" fontId="8" fillId="5" borderId="0" xfId="0" applyFont="1" applyFill="1"/>
    <xf numFmtId="164" fontId="8" fillId="5" borderId="0" xfId="0" applyNumberFormat="1" applyFont="1" applyFill="1"/>
    <xf numFmtId="0" fontId="10" fillId="3" borderId="0" xfId="0" applyFont="1" applyFill="1"/>
    <xf numFmtId="0" fontId="7" fillId="0" borderId="0" xfId="0" applyFont="1"/>
    <xf numFmtId="0" fontId="6" fillId="0" borderId="0" xfId="0" applyFont="1" applyAlignment="1">
      <alignment vertical="top" wrapText="1"/>
    </xf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6" borderId="0" xfId="0" applyFont="1" applyFill="1"/>
    <xf numFmtId="1" fontId="16" fillId="6" borderId="0" xfId="0" applyNumberFormat="1" applyFont="1" applyFill="1" applyAlignment="1">
      <alignment horizontal="center"/>
    </xf>
    <xf numFmtId="0" fontId="14" fillId="7" borderId="0" xfId="0" applyFont="1" applyFill="1"/>
    <xf numFmtId="167" fontId="13" fillId="0" borderId="0" xfId="0" applyNumberFormat="1" applyFont="1"/>
    <xf numFmtId="164" fontId="13" fillId="0" borderId="0" xfId="0" applyNumberFormat="1" applyFont="1"/>
    <xf numFmtId="168" fontId="13" fillId="0" borderId="0" xfId="0" applyNumberFormat="1" applyFont="1"/>
    <xf numFmtId="169" fontId="13" fillId="0" borderId="0" xfId="0" applyNumberFormat="1" applyFont="1"/>
    <xf numFmtId="0" fontId="13" fillId="0" borderId="0" xfId="0" applyFont="1" applyAlignment="1">
      <alignment indent="1"/>
    </xf>
    <xf numFmtId="0" fontId="14" fillId="7" borderId="0" xfId="0" applyFont="1" applyFill="1" applyAlignment="1">
      <alignment indent="1"/>
    </xf>
    <xf numFmtId="0" fontId="17" fillId="0" borderId="0" xfId="0" applyFont="1" applyAlignment="1">
      <alignment indent="1"/>
    </xf>
    <xf numFmtId="0" fontId="18" fillId="0" borderId="0" xfId="0" applyFont="1" applyAlignment="1">
      <alignment indent="1"/>
    </xf>
    <xf numFmtId="169" fontId="1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Ciclo de conversión de efectivo y sus componentes (días)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'CCE ROA ROE'!$A$6</c:f>
              <c:strCache>
                <c:ptCount val="1"/>
                <c:pt idx="0">
                  <c:v>PPI – Periodo promedio de inventarios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'CCE ROA ROE'!$B$5:$H$5</c:f>
              <c:numCache>
                <c:formatCode>0</c:formatCod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numCache>
            </c:numRef>
          </c:cat>
          <c:val>
            <c:numRef>
              <c:f>'CCE ROA ROE'!$B$6:$H$6</c:f>
              <c:numCache>
                <c:formatCode>0.0;\(0.0\);\-</c:formatCode>
                <c:ptCount val="7"/>
                <c:pt idx="0">
                  <c:v>18.74813402803272</c:v>
                </c:pt>
                <c:pt idx="1">
                  <c:v>21.101534192370249</c:v>
                </c:pt>
                <c:pt idx="2">
                  <c:v>19.834622507898462</c:v>
                </c:pt>
                <c:pt idx="3">
                  <c:v>21.360955630606526</c:v>
                </c:pt>
                <c:pt idx="4">
                  <c:v>18.813921602085053</c:v>
                </c:pt>
                <c:pt idx="5">
                  <c:v>20.859615485940765</c:v>
                </c:pt>
                <c:pt idx="6">
                  <c:v>17.840875232553444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32-3045-8156-724A50F3B122}"/>
            </c:ext>
          </c:extLst>
        </c:ser>
        <c:ser>
          <c:idx val="1"/>
          <c:order val="1"/>
          <c:tx>
            <c:strRef>
              <c:f>'CCE ROA ROE'!$A$7</c:f>
              <c:strCache>
                <c:ptCount val="1"/>
                <c:pt idx="0">
                  <c:v>PPC – Periodo promedio de cobro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'CCE ROA ROE'!$B$5:$H$5</c:f>
              <c:numCache>
                <c:formatCode>0</c:formatCod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numCache>
            </c:numRef>
          </c:cat>
          <c:val>
            <c:numRef>
              <c:f>'CCE ROA ROE'!$B$7:$H$7</c:f>
              <c:numCache>
                <c:formatCode>0.0;\(0.0\);\-</c:formatCode>
                <c:ptCount val="7"/>
                <c:pt idx="0">
                  <c:v>2.3749043994187216</c:v>
                </c:pt>
                <c:pt idx="1">
                  <c:v>2.8060869580901615</c:v>
                </c:pt>
                <c:pt idx="2">
                  <c:v>1.76759020462281</c:v>
                </c:pt>
                <c:pt idx="3">
                  <c:v>2.2049971229497727</c:v>
                </c:pt>
                <c:pt idx="4">
                  <c:v>2.6795107923778363</c:v>
                </c:pt>
                <c:pt idx="5">
                  <c:v>2.6831148760869041</c:v>
                </c:pt>
                <c:pt idx="6">
                  <c:v>3.6014998855873115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432-3045-8156-724A50F3B122}"/>
            </c:ext>
          </c:extLst>
        </c:ser>
        <c:ser>
          <c:idx val="2"/>
          <c:order val="2"/>
          <c:tx>
            <c:strRef>
              <c:f>'CCE ROA ROE'!$A$8</c:f>
              <c:strCache>
                <c:ptCount val="1"/>
                <c:pt idx="0">
                  <c:v>PPP – Periodo promedio de pago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'CCE ROA ROE'!$B$5:$H$5</c:f>
              <c:numCache>
                <c:formatCode>0</c:formatCod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numCache>
            </c:numRef>
          </c:cat>
          <c:val>
            <c:numRef>
              <c:f>'CCE ROA ROE'!$B$8:$H$8</c:f>
              <c:numCache>
                <c:formatCode>0.0;\(0.0\);\-</c:formatCode>
                <c:ptCount val="7"/>
                <c:pt idx="0">
                  <c:v>30.003862229021497</c:v>
                </c:pt>
                <c:pt idx="1">
                  <c:v>36.069028845032832</c:v>
                </c:pt>
                <c:pt idx="2">
                  <c:v>28.511938482768638</c:v>
                </c:pt>
                <c:pt idx="3">
                  <c:v>31.308043865827447</c:v>
                </c:pt>
                <c:pt idx="4">
                  <c:v>57.991081742638961</c:v>
                </c:pt>
                <c:pt idx="5">
                  <c:v>47.429507707258814</c:v>
                </c:pt>
                <c:pt idx="6">
                  <c:v>52.674629518308457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432-3045-8156-724A50F3B1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20191135"/>
        <c:axId val="650963135"/>
      </c:barChart>
      <c:lineChart>
        <c:grouping val="standard"/>
        <c:varyColors val="0"/>
        <c:ser>
          <c:idx val="3"/>
          <c:order val="3"/>
          <c:tx>
            <c:strRef>
              <c:f>'CCE ROA ROE'!$A$9</c:f>
              <c:strCache>
                <c:ptCount val="1"/>
                <c:pt idx="0">
                  <c:v>CCE – Ciclo de conversión de efectivo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'CCE ROA ROE'!$B$5:$H$5</c:f>
              <c:numCache>
                <c:formatCode>0</c:formatCod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numCache>
            </c:numRef>
          </c:cat>
          <c:val>
            <c:numRef>
              <c:f>'CCE ROA ROE'!$B$9:$H$9</c:f>
              <c:numCache>
                <c:formatCode>0.0;\(0.0\);\-</c:formatCode>
                <c:ptCount val="7"/>
                <c:pt idx="0">
                  <c:v>-8.880823801570056</c:v>
                </c:pt>
                <c:pt idx="1">
                  <c:v>-12.161407694572421</c:v>
                </c:pt>
                <c:pt idx="2">
                  <c:v>-6.9097257702473662</c:v>
                </c:pt>
                <c:pt idx="3">
                  <c:v>-7.7420911122711473</c:v>
                </c:pt>
                <c:pt idx="4">
                  <c:v>-36.497649348176068</c:v>
                </c:pt>
                <c:pt idx="5">
                  <c:v>-23.886777345231145</c:v>
                </c:pt>
                <c:pt idx="6">
                  <c:v>-31.232254400167701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432-3045-8156-724A50F3B1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20191135"/>
        <c:axId val="650963135"/>
      </c:lineChart>
      <c:catAx>
        <c:axId val="620191135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E"/>
          </a:p>
        </c:txPr>
        <c:crossAx val="650963135"/>
        <c:crosses val="autoZero"/>
        <c:auto val="1"/>
        <c:lblAlgn val="ctr"/>
        <c:lblOffset val="100"/>
        <c:noMultiLvlLbl val="0"/>
      </c:catAx>
      <c:valAx>
        <c:axId val="650963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E"/>
          </a:p>
        </c:txPr>
        <c:crossAx val="620191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ROA – Rentabilidad sobre activos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'CCE ROA ROE'!$A$14</c:f>
              <c:strCache>
                <c:ptCount val="1"/>
                <c:pt idx="0">
                  <c:v>ROA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'CCE ROA ROE'!$B$13:$H$13</c:f>
              <c:numCache>
                <c:formatCode>0</c:formatCod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numCache>
            </c:numRef>
          </c:cat>
          <c:val>
            <c:numRef>
              <c:f>'CCE ROA ROE'!$B$14:$H$14</c:f>
              <c:numCache>
                <c:formatCode>0.0%;\(0.0%\);\-</c:formatCode>
                <c:ptCount val="7"/>
                <c:pt idx="0">
                  <c:v>0.21656989078732944</c:v>
                </c:pt>
                <c:pt idx="1">
                  <c:v>0.22569470257638932</c:v>
                </c:pt>
                <c:pt idx="2">
                  <c:v>0.26675957703904168</c:v>
                </c:pt>
                <c:pt idx="3">
                  <c:v>0.19389283618222294</c:v>
                </c:pt>
                <c:pt idx="4">
                  <c:v>0.12703099254778205</c:v>
                </c:pt>
                <c:pt idx="5">
                  <c:v>0.16325683078160966</c:v>
                </c:pt>
                <c:pt idx="6">
                  <c:v>0.22575798627966748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CD-7A4C-B523-976AD3DCD9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20315215"/>
        <c:axId val="620263823"/>
      </c:lineChart>
      <c:catAx>
        <c:axId val="620315215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E"/>
          </a:p>
        </c:txPr>
        <c:crossAx val="620263823"/>
        <c:crosses val="autoZero"/>
        <c:auto val="1"/>
        <c:lblAlgn val="ctr"/>
        <c:lblOffset val="100"/>
        <c:noMultiLvlLbl val="0"/>
      </c:catAx>
      <c:valAx>
        <c:axId val="620263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E"/>
          </a:p>
        </c:txPr>
        <c:crossAx val="6203152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ROE – Rentabilidad sobre patrimonio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'CCE ROA ROE'!$A$19</c:f>
              <c:strCache>
                <c:ptCount val="1"/>
                <c:pt idx="0">
                  <c:v>ROE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'CCE ROA ROE'!$B$18:$H$18</c:f>
              <c:numCache>
                <c:formatCode>0</c:formatCod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numCache>
            </c:numRef>
          </c:cat>
          <c:val>
            <c:numRef>
              <c:f>'CCE ROA ROE'!$B$19:$H$19</c:f>
              <c:numCache>
                <c:formatCode>0.0%;\(0.0%\);\-</c:formatCode>
                <c:ptCount val="7"/>
                <c:pt idx="0">
                  <c:v>0.31144606162524086</c:v>
                </c:pt>
                <c:pt idx="1">
                  <c:v>0.32227189065663192</c:v>
                </c:pt>
                <c:pt idx="2">
                  <c:v>0.3641772952461263</c:v>
                </c:pt>
                <c:pt idx="3">
                  <c:v>0.25539159689576435</c:v>
                </c:pt>
                <c:pt idx="4">
                  <c:v>0.179668329677141</c:v>
                </c:pt>
                <c:pt idx="5">
                  <c:v>0.22039986790703797</c:v>
                </c:pt>
                <c:pt idx="6">
                  <c:v>0.32619567290853241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9-734E-8593-DED75D0F6E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14582191"/>
        <c:axId val="714586703"/>
      </c:lineChart>
      <c:catAx>
        <c:axId val="714582191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E"/>
          </a:p>
        </c:txPr>
        <c:crossAx val="714586703"/>
        <c:crosses val="autoZero"/>
        <c:auto val="1"/>
        <c:lblAlgn val="ctr"/>
        <c:lblOffset val="100"/>
        <c:noMultiLvlLbl val="0"/>
      </c:catAx>
      <c:valAx>
        <c:axId val="714586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E"/>
          </a:p>
        </c:txPr>
        <c:crossAx val="714582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18</xdr:col>
      <xdr:colOff>0</xdr:colOff>
      <xdr:row>18</xdr:row>
      <xdr:rowOff>0</xdr:rowOff>
    </xdr:to>
    <xdr:graphicFrame macro="">
      <xdr:nvGraphicFramePr>
        <xdr:cNvPr id="5" name="ChartCCE">
          <a:extLst>
            <a:ext uri="{FF2B5EF4-FFF2-40B4-BE49-F238E27FC236}">
              <a16:creationId xmlns:a16="http://schemas.microsoft.com/office/drawing/2014/main" id="{4E8845C5-BCFE-DAA0-F874-239FE46F61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19</xdr:row>
      <xdr:rowOff>0</xdr:rowOff>
    </xdr:from>
    <xdr:to>
      <xdr:col>18</xdr:col>
      <xdr:colOff>0</xdr:colOff>
      <xdr:row>36</xdr:row>
      <xdr:rowOff>0</xdr:rowOff>
    </xdr:to>
    <xdr:graphicFrame macro="">
      <xdr:nvGraphicFramePr>
        <xdr:cNvPr id="6" name="ChartROA">
          <a:extLst>
            <a:ext uri="{FF2B5EF4-FFF2-40B4-BE49-F238E27FC236}">
              <a16:creationId xmlns:a16="http://schemas.microsoft.com/office/drawing/2014/main" id="{627459C0-EB6B-F0A6-FEBA-634F69EE69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37</xdr:row>
      <xdr:rowOff>0</xdr:rowOff>
    </xdr:from>
    <xdr:to>
      <xdr:col>18</xdr:col>
      <xdr:colOff>0</xdr:colOff>
      <xdr:row>54</xdr:row>
      <xdr:rowOff>0</xdr:rowOff>
    </xdr:to>
    <xdr:graphicFrame macro="">
      <xdr:nvGraphicFramePr>
        <xdr:cNvPr id="7" name="ChartROE">
          <a:extLst>
            <a:ext uri="{FF2B5EF4-FFF2-40B4-BE49-F238E27FC236}">
              <a16:creationId xmlns:a16="http://schemas.microsoft.com/office/drawing/2014/main" id="{520E2487-4F1E-802E-2492-DF3BF3943B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FA4FF17-FA66-A045-9FC1-AF09B926D687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3c0e0a80-e2ab-405d-a50f-3615743d925d&quot;"/>
  </we:properties>
  <we:bindings/>
  <we:snapshot xmlns:r="http://schemas.openxmlformats.org/officeDocument/2006/relationships"/>
</we:webextension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0"/>
  <sheetViews>
    <sheetView showGridLines="0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C60" sqref="C60"/>
    </sheetView>
  </sheetViews>
  <sheetFormatPr baseColWidth="10" defaultColWidth="8.6640625" defaultRowHeight="15" x14ac:dyDescent="0.2"/>
  <cols>
    <col min="1" max="1" width="48" customWidth="1"/>
    <col min="2" max="8" width="13" customWidth="1"/>
  </cols>
  <sheetData>
    <row r="1" spans="1:8" ht="17" x14ac:dyDescent="0.2">
      <c r="A1" s="1" t="s">
        <v>0</v>
      </c>
    </row>
    <row r="2" spans="1:8" x14ac:dyDescent="0.2">
      <c r="A2" s="2" t="s">
        <v>1</v>
      </c>
    </row>
    <row r="3" spans="1:8" x14ac:dyDescent="0.2">
      <c r="A3" s="3" t="s">
        <v>2</v>
      </c>
    </row>
    <row r="5" spans="1:8" ht="18" customHeight="1" x14ac:dyDescent="0.2">
      <c r="A5" s="4" t="s">
        <v>3</v>
      </c>
      <c r="B5" s="5">
        <v>2019</v>
      </c>
      <c r="C5" s="5">
        <v>2020</v>
      </c>
      <c r="D5" s="5">
        <v>2021</v>
      </c>
      <c r="E5" s="5">
        <v>2022</v>
      </c>
      <c r="F5" s="5">
        <v>2023</v>
      </c>
      <c r="G5" s="5">
        <v>2024</v>
      </c>
      <c r="H5" s="5">
        <v>2025</v>
      </c>
    </row>
    <row r="6" spans="1:8" x14ac:dyDescent="0.2">
      <c r="A6" s="6" t="s">
        <v>4</v>
      </c>
      <c r="B6" s="7"/>
      <c r="C6" s="7"/>
      <c r="D6" s="7"/>
      <c r="E6" s="7"/>
      <c r="F6" s="7"/>
      <c r="G6" s="7"/>
      <c r="H6" s="7"/>
    </row>
    <row r="7" spans="1:8" x14ac:dyDescent="0.2">
      <c r="A7" s="6" t="s">
        <v>5</v>
      </c>
      <c r="B7" s="7"/>
      <c r="C7" s="7"/>
      <c r="D7" s="7"/>
      <c r="E7" s="7"/>
      <c r="F7" s="7"/>
      <c r="G7" s="7"/>
      <c r="H7" s="7"/>
    </row>
    <row r="8" spans="1:8" x14ac:dyDescent="0.2">
      <c r="A8" s="8" t="s">
        <v>6</v>
      </c>
      <c r="B8" s="9">
        <v>118831</v>
      </c>
      <c r="C8" s="9">
        <v>366089</v>
      </c>
      <c r="D8" s="9">
        <v>622048</v>
      </c>
      <c r="E8" s="9">
        <v>254238</v>
      </c>
      <c r="F8" s="9">
        <v>277363</v>
      </c>
      <c r="G8" s="9">
        <v>147809</v>
      </c>
      <c r="H8" s="9">
        <v>424335</v>
      </c>
    </row>
    <row r="9" spans="1:8" x14ac:dyDescent="0.2">
      <c r="A9" s="8" t="s">
        <v>7</v>
      </c>
      <c r="B9" s="9">
        <v>0</v>
      </c>
      <c r="C9" s="9">
        <v>0</v>
      </c>
      <c r="D9" s="9">
        <v>0</v>
      </c>
      <c r="E9" s="9">
        <v>171900</v>
      </c>
      <c r="F9" s="9">
        <v>0</v>
      </c>
      <c r="G9" s="9">
        <v>0</v>
      </c>
      <c r="H9" s="9">
        <v>0</v>
      </c>
    </row>
    <row r="10" spans="1:8" x14ac:dyDescent="0.2">
      <c r="A10" s="8" t="s">
        <v>8</v>
      </c>
      <c r="B10" s="9">
        <v>9622</v>
      </c>
      <c r="C10" s="9">
        <v>12787</v>
      </c>
      <c r="D10" s="9">
        <v>10183</v>
      </c>
      <c r="E10" s="9">
        <v>12630</v>
      </c>
      <c r="F10" s="9">
        <v>14628</v>
      </c>
      <c r="G10" s="9">
        <v>19293</v>
      </c>
      <c r="H10" s="9">
        <v>34281</v>
      </c>
    </row>
    <row r="11" spans="1:8" x14ac:dyDescent="0.2">
      <c r="A11" s="8" t="s">
        <v>9</v>
      </c>
      <c r="B11" s="9">
        <v>23718</v>
      </c>
      <c r="C11" s="9">
        <v>16688</v>
      </c>
      <c r="D11" s="9">
        <v>16592</v>
      </c>
      <c r="E11" s="9">
        <v>62109</v>
      </c>
      <c r="F11" s="9">
        <v>87810</v>
      </c>
      <c r="G11" s="9">
        <v>104314</v>
      </c>
      <c r="H11" s="9">
        <v>83432</v>
      </c>
    </row>
    <row r="12" spans="1:8" x14ac:dyDescent="0.2">
      <c r="A12" s="8" t="s">
        <v>10</v>
      </c>
      <c r="B12" s="9">
        <v>44353</v>
      </c>
      <c r="C12" s="9">
        <v>50084</v>
      </c>
      <c r="D12" s="9">
        <v>59856</v>
      </c>
      <c r="E12" s="9">
        <v>70544</v>
      </c>
      <c r="F12" s="9">
        <v>68270</v>
      </c>
      <c r="G12" s="9">
        <v>97619</v>
      </c>
      <c r="H12" s="9">
        <v>102859</v>
      </c>
    </row>
    <row r="13" spans="1:8" x14ac:dyDescent="0.2">
      <c r="A13" s="8" t="s">
        <v>11</v>
      </c>
      <c r="B13" s="9">
        <v>16241</v>
      </c>
      <c r="C13" s="9">
        <v>19498</v>
      </c>
      <c r="D13" s="9">
        <v>13379</v>
      </c>
      <c r="E13" s="9">
        <v>14443</v>
      </c>
      <c r="F13" s="9">
        <v>16458</v>
      </c>
      <c r="G13" s="9">
        <v>13615</v>
      </c>
      <c r="H13" s="9">
        <v>11476</v>
      </c>
    </row>
    <row r="14" spans="1:8" x14ac:dyDescent="0.2">
      <c r="A14" s="10" t="s">
        <v>12</v>
      </c>
      <c r="B14" s="11">
        <f t="shared" ref="B14:H14" si="0">SUM(B8:B13)</f>
        <v>212765</v>
      </c>
      <c r="C14" s="11">
        <f t="shared" si="0"/>
        <v>465146</v>
      </c>
      <c r="D14" s="11">
        <f t="shared" si="0"/>
        <v>722058</v>
      </c>
      <c r="E14" s="11">
        <f t="shared" si="0"/>
        <v>585864</v>
      </c>
      <c r="F14" s="11">
        <f t="shared" si="0"/>
        <v>464529</v>
      </c>
      <c r="G14" s="11">
        <f t="shared" si="0"/>
        <v>382650</v>
      </c>
      <c r="H14" s="11">
        <f t="shared" si="0"/>
        <v>656383</v>
      </c>
    </row>
    <row r="16" spans="1:8" x14ac:dyDescent="0.2">
      <c r="A16" s="6" t="s">
        <v>13</v>
      </c>
      <c r="B16" s="7"/>
      <c r="C16" s="7"/>
      <c r="D16" s="7"/>
      <c r="E16" s="7"/>
      <c r="F16" s="7"/>
      <c r="G16" s="7"/>
      <c r="H16" s="7"/>
    </row>
    <row r="17" spans="1:8" x14ac:dyDescent="0.2">
      <c r="A17" s="8" t="s">
        <v>14</v>
      </c>
      <c r="B17" s="9">
        <v>0</v>
      </c>
      <c r="C17" s="9">
        <v>0</v>
      </c>
      <c r="D17" s="9">
        <v>0</v>
      </c>
      <c r="E17" s="9">
        <v>5299</v>
      </c>
      <c r="F17" s="9">
        <v>5668</v>
      </c>
      <c r="G17" s="9">
        <v>5755</v>
      </c>
      <c r="H17" s="9">
        <v>5755</v>
      </c>
    </row>
    <row r="18" spans="1:8" x14ac:dyDescent="0.2">
      <c r="A18" s="8" t="s">
        <v>15</v>
      </c>
      <c r="B18" s="9">
        <v>25460</v>
      </c>
      <c r="C18" s="9">
        <v>25460</v>
      </c>
      <c r="D18" s="9">
        <v>25460</v>
      </c>
      <c r="E18" s="9">
        <v>25837</v>
      </c>
      <c r="F18" s="9">
        <v>25460</v>
      </c>
      <c r="G18" s="9">
        <v>25460</v>
      </c>
      <c r="H18" s="9">
        <v>25460</v>
      </c>
    </row>
    <row r="19" spans="1:8" x14ac:dyDescent="0.2">
      <c r="A19" s="8" t="s">
        <v>16</v>
      </c>
      <c r="B19" s="9">
        <v>23291</v>
      </c>
      <c r="C19" s="9">
        <v>20411</v>
      </c>
      <c r="D19" s="9">
        <v>18580</v>
      </c>
      <c r="E19" s="9">
        <v>15013</v>
      </c>
      <c r="F19" s="9">
        <v>12011</v>
      </c>
      <c r="G19" s="9">
        <v>12011</v>
      </c>
      <c r="H19" s="9">
        <v>19095</v>
      </c>
    </row>
    <row r="20" spans="1:8" x14ac:dyDescent="0.2">
      <c r="A20" s="8" t="s">
        <v>17</v>
      </c>
      <c r="B20" s="9">
        <v>555339</v>
      </c>
      <c r="C20" s="9">
        <v>668676</v>
      </c>
      <c r="D20" s="9">
        <v>761277</v>
      </c>
      <c r="E20" s="9">
        <v>829522</v>
      </c>
      <c r="F20" s="9">
        <v>1035860</v>
      </c>
      <c r="G20" s="9">
        <v>1106796</v>
      </c>
      <c r="H20" s="9">
        <v>1305460</v>
      </c>
    </row>
    <row r="21" spans="1:8" x14ac:dyDescent="0.2">
      <c r="A21" s="8" t="s">
        <v>18</v>
      </c>
      <c r="B21" s="9">
        <v>40786</v>
      </c>
      <c r="C21" s="9">
        <v>21982</v>
      </c>
      <c r="D21" s="9">
        <v>30105</v>
      </c>
      <c r="E21" s="9">
        <v>29499</v>
      </c>
      <c r="F21" s="9">
        <v>21778</v>
      </c>
      <c r="G21" s="9">
        <v>17749</v>
      </c>
      <c r="H21" s="9">
        <v>13544</v>
      </c>
    </row>
    <row r="22" spans="1:8" x14ac:dyDescent="0.2">
      <c r="A22" s="8" t="s">
        <v>19</v>
      </c>
      <c r="B22" s="9">
        <v>532857</v>
      </c>
      <c r="C22" s="9">
        <v>506646</v>
      </c>
      <c r="D22" s="9">
        <v>514768</v>
      </c>
      <c r="E22" s="9">
        <v>609843</v>
      </c>
      <c r="F22" s="9">
        <v>762189</v>
      </c>
      <c r="G22" s="9">
        <v>992370</v>
      </c>
      <c r="H22" s="9">
        <v>1163147</v>
      </c>
    </row>
    <row r="23" spans="1:8" x14ac:dyDescent="0.2">
      <c r="A23" s="10" t="s">
        <v>20</v>
      </c>
      <c r="B23" s="11">
        <f t="shared" ref="B23:H23" si="1">SUM(B17:B22)</f>
        <v>1177733</v>
      </c>
      <c r="C23" s="11">
        <f t="shared" si="1"/>
        <v>1243175</v>
      </c>
      <c r="D23" s="11">
        <f t="shared" si="1"/>
        <v>1350190</v>
      </c>
      <c r="E23" s="11">
        <f t="shared" si="1"/>
        <v>1515013</v>
      </c>
      <c r="F23" s="11">
        <f t="shared" si="1"/>
        <v>1862966</v>
      </c>
      <c r="G23" s="11">
        <f t="shared" si="1"/>
        <v>2160141</v>
      </c>
      <c r="H23" s="11">
        <f t="shared" si="1"/>
        <v>2532461</v>
      </c>
    </row>
    <row r="25" spans="1:8" x14ac:dyDescent="0.2">
      <c r="A25" s="12" t="s">
        <v>21</v>
      </c>
      <c r="B25" s="13">
        <f t="shared" ref="B25:H25" si="2">B14+B23</f>
        <v>1390498</v>
      </c>
      <c r="C25" s="13">
        <f t="shared" si="2"/>
        <v>1708321</v>
      </c>
      <c r="D25" s="13">
        <f t="shared" si="2"/>
        <v>2072248</v>
      </c>
      <c r="E25" s="13">
        <f t="shared" si="2"/>
        <v>2100877</v>
      </c>
      <c r="F25" s="13">
        <f t="shared" si="2"/>
        <v>2327495</v>
      </c>
      <c r="G25" s="13">
        <f t="shared" si="2"/>
        <v>2542791</v>
      </c>
      <c r="H25" s="13">
        <f t="shared" si="2"/>
        <v>3188844</v>
      </c>
    </row>
    <row r="28" spans="1:8" x14ac:dyDescent="0.2">
      <c r="A28" s="6" t="s">
        <v>22</v>
      </c>
      <c r="B28" s="7"/>
      <c r="C28" s="7"/>
      <c r="D28" s="7"/>
      <c r="E28" s="7"/>
      <c r="F28" s="7"/>
      <c r="G28" s="7"/>
      <c r="H28" s="7"/>
    </row>
    <row r="29" spans="1:8" x14ac:dyDescent="0.2">
      <c r="A29" s="6" t="s">
        <v>23</v>
      </c>
      <c r="B29" s="7"/>
      <c r="C29" s="7"/>
      <c r="D29" s="7"/>
      <c r="E29" s="7"/>
      <c r="F29" s="7"/>
      <c r="G29" s="7"/>
      <c r="H29" s="7"/>
    </row>
    <row r="30" spans="1:8" x14ac:dyDescent="0.2">
      <c r="A30" s="8" t="s">
        <v>24</v>
      </c>
      <c r="B30" s="9">
        <v>70981</v>
      </c>
      <c r="C30" s="9">
        <v>85609</v>
      </c>
      <c r="D30" s="9">
        <v>86042</v>
      </c>
      <c r="E30" s="9">
        <v>103394</v>
      </c>
      <c r="F30" s="9">
        <v>210432</v>
      </c>
      <c r="G30" s="9">
        <v>221961</v>
      </c>
      <c r="H30" s="9">
        <v>303688</v>
      </c>
    </row>
    <row r="31" spans="1:8" x14ac:dyDescent="0.2">
      <c r="A31" s="8" t="s">
        <v>25</v>
      </c>
      <c r="B31" s="9">
        <v>77351</v>
      </c>
      <c r="C31" s="9">
        <v>109926</v>
      </c>
      <c r="D31" s="9">
        <v>156479</v>
      </c>
      <c r="E31" s="9">
        <v>127512</v>
      </c>
      <c r="F31" s="9">
        <v>67911</v>
      </c>
      <c r="G31" s="9">
        <v>89451</v>
      </c>
      <c r="H31" s="9">
        <v>117990</v>
      </c>
    </row>
    <row r="32" spans="1:8" x14ac:dyDescent="0.2">
      <c r="A32" s="8" t="s">
        <v>26</v>
      </c>
      <c r="B32" s="9">
        <v>0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  <c r="H32" s="9">
        <v>62029</v>
      </c>
    </row>
    <row r="33" spans="1:8" x14ac:dyDescent="0.2">
      <c r="A33" s="8" t="s">
        <v>27</v>
      </c>
      <c r="B33" s="9">
        <v>82525</v>
      </c>
      <c r="C33" s="9">
        <v>65650</v>
      </c>
      <c r="D33" s="9">
        <v>68532</v>
      </c>
      <c r="E33" s="9">
        <v>88270</v>
      </c>
      <c r="F33" s="9">
        <v>98735</v>
      </c>
      <c r="G33" s="9">
        <v>100100</v>
      </c>
      <c r="H33" s="9">
        <v>199052</v>
      </c>
    </row>
    <row r="34" spans="1:8" x14ac:dyDescent="0.2">
      <c r="A34" s="8" t="s">
        <v>28</v>
      </c>
      <c r="B34" s="9">
        <v>15123</v>
      </c>
      <c r="C34" s="9">
        <v>10869</v>
      </c>
      <c r="D34" s="9">
        <v>11517</v>
      </c>
      <c r="E34" s="9">
        <v>5697</v>
      </c>
      <c r="F34" s="9">
        <v>4480</v>
      </c>
      <c r="G34" s="9">
        <v>1904</v>
      </c>
      <c r="H34" s="9">
        <v>1418</v>
      </c>
    </row>
    <row r="35" spans="1:8" x14ac:dyDescent="0.2">
      <c r="A35" s="8" t="s">
        <v>29</v>
      </c>
      <c r="B35" s="9">
        <v>38013</v>
      </c>
      <c r="C35" s="9">
        <v>52331</v>
      </c>
      <c r="D35" s="9">
        <v>71526</v>
      </c>
      <c r="E35" s="9">
        <v>59491</v>
      </c>
      <c r="F35" s="9">
        <v>41236</v>
      </c>
      <c r="G35" s="9">
        <v>51276</v>
      </c>
      <c r="H35" s="9">
        <v>91718</v>
      </c>
    </row>
    <row r="36" spans="1:8" x14ac:dyDescent="0.2">
      <c r="A36" s="8" t="s">
        <v>30</v>
      </c>
      <c r="B36" s="9">
        <v>2548</v>
      </c>
      <c r="C36" s="9">
        <v>4014</v>
      </c>
      <c r="D36" s="9">
        <v>2283</v>
      </c>
      <c r="E36" s="9">
        <v>1575</v>
      </c>
      <c r="F36" s="9">
        <v>1765</v>
      </c>
      <c r="G36" s="9">
        <v>2470</v>
      </c>
      <c r="H36" s="9">
        <v>2472</v>
      </c>
    </row>
    <row r="37" spans="1:8" x14ac:dyDescent="0.2">
      <c r="A37" s="8" t="s">
        <v>31</v>
      </c>
      <c r="B37" s="9">
        <v>2887</v>
      </c>
      <c r="C37" s="9">
        <v>6748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</row>
    <row r="38" spans="1:8" x14ac:dyDescent="0.2">
      <c r="A38" s="8" t="s">
        <v>32</v>
      </c>
      <c r="B38" s="9">
        <v>3109</v>
      </c>
      <c r="C38" s="9">
        <v>3397</v>
      </c>
      <c r="D38" s="9">
        <v>3748</v>
      </c>
      <c r="E38" s="9">
        <v>3581</v>
      </c>
      <c r="F38" s="9">
        <v>2923</v>
      </c>
      <c r="G38" s="9">
        <v>3392</v>
      </c>
      <c r="H38" s="9">
        <v>1836</v>
      </c>
    </row>
    <row r="39" spans="1:8" x14ac:dyDescent="0.2">
      <c r="A39" s="10" t="s">
        <v>33</v>
      </c>
      <c r="B39" s="11">
        <f t="shared" ref="B39:H39" si="3">SUM(B30:B38)</f>
        <v>292537</v>
      </c>
      <c r="C39" s="11">
        <f t="shared" si="3"/>
        <v>338544</v>
      </c>
      <c r="D39" s="11">
        <f t="shared" si="3"/>
        <v>400127</v>
      </c>
      <c r="E39" s="11">
        <f t="shared" si="3"/>
        <v>389520</v>
      </c>
      <c r="F39" s="11">
        <f t="shared" si="3"/>
        <v>427482</v>
      </c>
      <c r="G39" s="11">
        <f t="shared" si="3"/>
        <v>470554</v>
      </c>
      <c r="H39" s="11">
        <f t="shared" si="3"/>
        <v>780203</v>
      </c>
    </row>
    <row r="41" spans="1:8" x14ac:dyDescent="0.2">
      <c r="A41" s="6" t="s">
        <v>34</v>
      </c>
      <c r="B41" s="7"/>
      <c r="C41" s="7"/>
      <c r="D41" s="7"/>
      <c r="E41" s="7"/>
      <c r="F41" s="7"/>
      <c r="G41" s="7"/>
      <c r="H41" s="7"/>
    </row>
    <row r="42" spans="1:8" x14ac:dyDescent="0.2">
      <c r="A42" s="8" t="s">
        <v>35</v>
      </c>
      <c r="B42" s="9">
        <v>1177</v>
      </c>
      <c r="C42" s="9">
        <v>2659</v>
      </c>
      <c r="D42" s="9">
        <v>1660</v>
      </c>
      <c r="E42" s="9">
        <v>420</v>
      </c>
      <c r="F42" s="9">
        <v>241</v>
      </c>
      <c r="G42" s="9">
        <v>209</v>
      </c>
      <c r="H42" s="9">
        <v>174</v>
      </c>
    </row>
    <row r="43" spans="1:8" x14ac:dyDescent="0.2">
      <c r="A43" s="8" t="s">
        <v>36</v>
      </c>
      <c r="B43" s="9">
        <v>47644</v>
      </c>
      <c r="C43" s="9">
        <v>43224</v>
      </c>
      <c r="D43" s="9">
        <v>31402</v>
      </c>
      <c r="E43" s="9">
        <v>0</v>
      </c>
      <c r="F43" s="9">
        <v>51982</v>
      </c>
      <c r="G43" s="9">
        <v>22620</v>
      </c>
      <c r="H43" s="9">
        <v>0</v>
      </c>
    </row>
    <row r="44" spans="1:8" x14ac:dyDescent="0.2">
      <c r="A44" s="8" t="s">
        <v>37</v>
      </c>
      <c r="B44" s="9">
        <v>10749</v>
      </c>
      <c r="C44" s="9">
        <v>10954</v>
      </c>
      <c r="D44" s="9">
        <v>17220</v>
      </c>
      <c r="E44" s="9">
        <v>11751</v>
      </c>
      <c r="F44" s="9">
        <v>8761</v>
      </c>
      <c r="G44" s="9">
        <v>7441</v>
      </c>
      <c r="H44" s="9">
        <v>5194</v>
      </c>
    </row>
    <row r="45" spans="1:8" x14ac:dyDescent="0.2">
      <c r="A45" s="8" t="s">
        <v>38</v>
      </c>
      <c r="B45" s="9">
        <v>26319</v>
      </c>
      <c r="C45" s="9">
        <v>74049</v>
      </c>
      <c r="D45" s="9">
        <v>67451</v>
      </c>
      <c r="E45" s="9">
        <v>61084</v>
      </c>
      <c r="F45" s="9">
        <v>128506</v>
      </c>
      <c r="G45" s="9">
        <v>62684</v>
      </c>
      <c r="H45" s="9">
        <v>129368</v>
      </c>
    </row>
    <row r="46" spans="1:8" x14ac:dyDescent="0.2">
      <c r="A46" s="8" t="s">
        <v>39</v>
      </c>
      <c r="B46" s="9">
        <v>45163</v>
      </c>
      <c r="C46" s="9">
        <v>42513</v>
      </c>
      <c r="D46" s="9">
        <v>36468</v>
      </c>
      <c r="E46" s="9">
        <v>43120</v>
      </c>
      <c r="F46" s="9">
        <v>64913</v>
      </c>
      <c r="G46" s="9">
        <v>95761</v>
      </c>
      <c r="H46" s="9">
        <v>66926</v>
      </c>
    </row>
    <row r="47" spans="1:8" x14ac:dyDescent="0.2">
      <c r="A47" s="10" t="s">
        <v>40</v>
      </c>
      <c r="B47" s="11">
        <f t="shared" ref="B47:H47" si="4">SUM(B42:B46)</f>
        <v>131052</v>
      </c>
      <c r="C47" s="11">
        <f t="shared" si="4"/>
        <v>173399</v>
      </c>
      <c r="D47" s="11">
        <f t="shared" si="4"/>
        <v>154201</v>
      </c>
      <c r="E47" s="11">
        <f t="shared" si="4"/>
        <v>116375</v>
      </c>
      <c r="F47" s="11">
        <f t="shared" si="4"/>
        <v>254403</v>
      </c>
      <c r="G47" s="11">
        <f t="shared" si="4"/>
        <v>188715</v>
      </c>
      <c r="H47" s="11">
        <f t="shared" si="4"/>
        <v>201662</v>
      </c>
    </row>
    <row r="49" spans="1:8" x14ac:dyDescent="0.2">
      <c r="A49" s="12" t="s">
        <v>41</v>
      </c>
      <c r="B49" s="13">
        <f t="shared" ref="B49:H49" si="5">B39+B47</f>
        <v>423589</v>
      </c>
      <c r="C49" s="13">
        <f t="shared" si="5"/>
        <v>511943</v>
      </c>
      <c r="D49" s="13">
        <f t="shared" si="5"/>
        <v>554328</v>
      </c>
      <c r="E49" s="13">
        <f t="shared" si="5"/>
        <v>505895</v>
      </c>
      <c r="F49" s="13">
        <f t="shared" si="5"/>
        <v>681885</v>
      </c>
      <c r="G49" s="13">
        <f t="shared" si="5"/>
        <v>659269</v>
      </c>
      <c r="H49" s="13">
        <f t="shared" si="5"/>
        <v>981865</v>
      </c>
    </row>
    <row r="52" spans="1:8" x14ac:dyDescent="0.2">
      <c r="A52" s="6" t="s">
        <v>42</v>
      </c>
      <c r="B52" s="7"/>
      <c r="C52" s="7"/>
      <c r="D52" s="7"/>
      <c r="E52" s="7"/>
      <c r="F52" s="7"/>
      <c r="G52" s="7"/>
      <c r="H52" s="7"/>
    </row>
    <row r="53" spans="1:8" x14ac:dyDescent="0.2">
      <c r="A53" s="8" t="s">
        <v>43</v>
      </c>
      <c r="B53" s="9">
        <v>363000</v>
      </c>
      <c r="C53" s="9">
        <v>363000</v>
      </c>
      <c r="D53" s="9">
        <v>453750</v>
      </c>
      <c r="E53" s="9">
        <v>453750</v>
      </c>
      <c r="F53" s="9">
        <v>600000</v>
      </c>
      <c r="G53" s="9">
        <v>800000</v>
      </c>
      <c r="H53" s="9">
        <v>1000000</v>
      </c>
    </row>
    <row r="54" spans="1:8" x14ac:dyDescent="0.2">
      <c r="A54" s="8" t="s">
        <v>44</v>
      </c>
      <c r="B54" s="9">
        <v>72600</v>
      </c>
      <c r="C54" s="9">
        <v>72600</v>
      </c>
      <c r="D54" s="9">
        <v>90750</v>
      </c>
      <c r="E54" s="9">
        <v>90750</v>
      </c>
      <c r="F54" s="9">
        <v>120000</v>
      </c>
      <c r="G54" s="9">
        <v>160000</v>
      </c>
      <c r="H54" s="9">
        <v>200000</v>
      </c>
    </row>
    <row r="55" spans="1:8" x14ac:dyDescent="0.2">
      <c r="A55" s="8" t="s">
        <v>45</v>
      </c>
      <c r="B55" s="9">
        <v>531309</v>
      </c>
      <c r="C55" s="9">
        <v>760778</v>
      </c>
      <c r="D55" s="9">
        <v>973420</v>
      </c>
      <c r="E55" s="9">
        <v>1050482</v>
      </c>
      <c r="F55" s="9">
        <v>925610</v>
      </c>
      <c r="G55" s="9">
        <v>923522</v>
      </c>
      <c r="H55" s="9">
        <v>1006979</v>
      </c>
    </row>
    <row r="56" spans="1:8" x14ac:dyDescent="0.2">
      <c r="A56" s="10" t="s">
        <v>46</v>
      </c>
      <c r="B56" s="11">
        <f t="shared" ref="B56:H56" si="6">SUM(B53:B55)</f>
        <v>966909</v>
      </c>
      <c r="C56" s="11">
        <f t="shared" si="6"/>
        <v>1196378</v>
      </c>
      <c r="D56" s="11">
        <f t="shared" si="6"/>
        <v>1517920</v>
      </c>
      <c r="E56" s="11">
        <f t="shared" si="6"/>
        <v>1594982</v>
      </c>
      <c r="F56" s="11">
        <f t="shared" si="6"/>
        <v>1645610</v>
      </c>
      <c r="G56" s="11">
        <f t="shared" si="6"/>
        <v>1883522</v>
      </c>
      <c r="H56" s="11">
        <f t="shared" si="6"/>
        <v>2206979</v>
      </c>
    </row>
    <row r="58" spans="1:8" x14ac:dyDescent="0.2">
      <c r="A58" s="12" t="s">
        <v>47</v>
      </c>
      <c r="B58" s="13">
        <f t="shared" ref="B58:H58" si="7">B49+B56</f>
        <v>1390498</v>
      </c>
      <c r="C58" s="13">
        <f t="shared" si="7"/>
        <v>1708321</v>
      </c>
      <c r="D58" s="13">
        <f t="shared" si="7"/>
        <v>2072248</v>
      </c>
      <c r="E58" s="13">
        <f t="shared" si="7"/>
        <v>2100877</v>
      </c>
      <c r="F58" s="13">
        <f t="shared" si="7"/>
        <v>2327495</v>
      </c>
      <c r="G58" s="13">
        <f t="shared" si="7"/>
        <v>2542791</v>
      </c>
      <c r="H58" s="13">
        <f t="shared" si="7"/>
        <v>3188844</v>
      </c>
    </row>
    <row r="60" spans="1:8" x14ac:dyDescent="0.2">
      <c r="A60" s="14" t="s">
        <v>48</v>
      </c>
      <c r="B60" s="15">
        <f t="shared" ref="B60:H60" si="8">B25-B58</f>
        <v>0</v>
      </c>
      <c r="C60" s="15">
        <f t="shared" si="8"/>
        <v>0</v>
      </c>
      <c r="D60" s="15">
        <f t="shared" si="8"/>
        <v>0</v>
      </c>
      <c r="E60" s="15">
        <f t="shared" si="8"/>
        <v>0</v>
      </c>
      <c r="F60" s="15">
        <f t="shared" si="8"/>
        <v>0</v>
      </c>
      <c r="G60" s="15">
        <f t="shared" si="8"/>
        <v>0</v>
      </c>
      <c r="H60" s="15">
        <f t="shared" si="8"/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1"/>
  <sheetViews>
    <sheetView showGridLines="0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baseColWidth="10" defaultColWidth="8.6640625" defaultRowHeight="15" x14ac:dyDescent="0.2"/>
  <cols>
    <col min="1" max="1" width="56" customWidth="1"/>
    <col min="2" max="8" width="13" customWidth="1"/>
  </cols>
  <sheetData>
    <row r="1" spans="1:8" ht="17" x14ac:dyDescent="0.2">
      <c r="A1" s="1" t="s">
        <v>0</v>
      </c>
    </row>
    <row r="2" spans="1:8" x14ac:dyDescent="0.2">
      <c r="A2" s="2" t="s">
        <v>49</v>
      </c>
    </row>
    <row r="3" spans="1:8" x14ac:dyDescent="0.2">
      <c r="A3" s="3" t="s">
        <v>2</v>
      </c>
    </row>
    <row r="5" spans="1:8" ht="18" customHeight="1" x14ac:dyDescent="0.2">
      <c r="A5" s="4" t="s">
        <v>3</v>
      </c>
      <c r="B5" s="5">
        <v>2019</v>
      </c>
      <c r="C5" s="5">
        <v>2020</v>
      </c>
      <c r="D5" s="5">
        <v>2021</v>
      </c>
      <c r="E5" s="5">
        <v>2022</v>
      </c>
      <c r="F5" s="5">
        <v>2023</v>
      </c>
      <c r="G5" s="5">
        <v>2024</v>
      </c>
      <c r="H5" s="5">
        <v>2025</v>
      </c>
    </row>
    <row r="6" spans="1:8" x14ac:dyDescent="0.2">
      <c r="A6" s="8" t="s">
        <v>50</v>
      </c>
      <c r="B6" s="9">
        <v>1478809</v>
      </c>
      <c r="C6" s="9">
        <v>1663261</v>
      </c>
      <c r="D6" s="9">
        <v>2102747</v>
      </c>
      <c r="E6" s="9">
        <v>2090683</v>
      </c>
      <c r="F6" s="9">
        <v>1992610</v>
      </c>
      <c r="G6" s="9">
        <v>2624541</v>
      </c>
      <c r="H6" s="9">
        <v>3474265</v>
      </c>
    </row>
    <row r="7" spans="1:8" x14ac:dyDescent="0.2">
      <c r="A7" s="8" t="s">
        <v>51</v>
      </c>
      <c r="B7" s="9">
        <v>-863491</v>
      </c>
      <c r="C7" s="9">
        <v>-866319</v>
      </c>
      <c r="D7" s="9">
        <v>-1101480</v>
      </c>
      <c r="E7" s="9">
        <v>-1205403</v>
      </c>
      <c r="F7" s="9">
        <v>-1324474</v>
      </c>
      <c r="G7" s="9">
        <v>-1708130</v>
      </c>
      <c r="H7" s="9">
        <v>-2104355</v>
      </c>
    </row>
    <row r="8" spans="1:8" x14ac:dyDescent="0.2">
      <c r="A8" s="10" t="s">
        <v>52</v>
      </c>
      <c r="B8" s="11">
        <f t="shared" ref="B8:H8" si="0">B6+B7</f>
        <v>615318</v>
      </c>
      <c r="C8" s="11">
        <f t="shared" si="0"/>
        <v>796942</v>
      </c>
      <c r="D8" s="11">
        <f t="shared" si="0"/>
        <v>1001267</v>
      </c>
      <c r="E8" s="11">
        <f t="shared" si="0"/>
        <v>885280</v>
      </c>
      <c r="F8" s="11">
        <f t="shared" si="0"/>
        <v>668136</v>
      </c>
      <c r="G8" s="11">
        <f t="shared" si="0"/>
        <v>916411</v>
      </c>
      <c r="H8" s="11">
        <f t="shared" si="0"/>
        <v>1369910</v>
      </c>
    </row>
    <row r="10" spans="1:8" x14ac:dyDescent="0.2">
      <c r="A10" s="6" t="s">
        <v>53</v>
      </c>
      <c r="B10" s="7"/>
      <c r="C10" s="7"/>
      <c r="D10" s="7"/>
      <c r="E10" s="7"/>
      <c r="F10" s="7"/>
      <c r="G10" s="7"/>
      <c r="H10" s="7"/>
    </row>
    <row r="11" spans="1:8" x14ac:dyDescent="0.2">
      <c r="A11" s="8" t="s">
        <v>54</v>
      </c>
      <c r="B11" s="9">
        <v>-30659</v>
      </c>
      <c r="C11" s="9">
        <v>-36080</v>
      </c>
      <c r="D11" s="9">
        <v>-54900</v>
      </c>
      <c r="E11" s="9">
        <v>-52160</v>
      </c>
      <c r="F11" s="9">
        <v>-53764</v>
      </c>
      <c r="G11" s="9">
        <v>-76754</v>
      </c>
      <c r="H11" s="9">
        <v>-107225</v>
      </c>
    </row>
    <row r="12" spans="1:8" x14ac:dyDescent="0.2">
      <c r="A12" s="8" t="s">
        <v>55</v>
      </c>
      <c r="B12" s="9">
        <v>-115644</v>
      </c>
      <c r="C12" s="9">
        <v>-128472</v>
      </c>
      <c r="D12" s="9">
        <v>-162202</v>
      </c>
      <c r="E12" s="9">
        <v>-159221</v>
      </c>
      <c r="F12" s="9">
        <v>-171810</v>
      </c>
      <c r="G12" s="9">
        <v>-200960</v>
      </c>
      <c r="H12" s="9">
        <v>-257099</v>
      </c>
    </row>
    <row r="13" spans="1:8" x14ac:dyDescent="0.2">
      <c r="A13" s="8" t="s">
        <v>56</v>
      </c>
      <c r="B13" s="9">
        <v>7329</v>
      </c>
      <c r="C13" s="9">
        <v>7962</v>
      </c>
      <c r="D13" s="9">
        <v>17768</v>
      </c>
      <c r="E13" s="9">
        <v>12917</v>
      </c>
      <c r="F13" s="9">
        <v>24406</v>
      </c>
      <c r="G13" s="9">
        <v>21860</v>
      </c>
      <c r="H13" s="9">
        <v>29686</v>
      </c>
    </row>
    <row r="14" spans="1:8" x14ac:dyDescent="0.2">
      <c r="A14" s="8" t="s">
        <v>57</v>
      </c>
      <c r="B14" s="9">
        <v>-1292</v>
      </c>
      <c r="C14" s="9">
        <v>-4846</v>
      </c>
      <c r="D14" s="9">
        <v>-1118</v>
      </c>
      <c r="E14" s="9">
        <v>-53884</v>
      </c>
      <c r="F14" s="9">
        <v>-10612</v>
      </c>
      <c r="G14" s="9">
        <v>-8704</v>
      </c>
      <c r="H14" s="9">
        <v>-1012</v>
      </c>
    </row>
    <row r="15" spans="1:8" x14ac:dyDescent="0.2">
      <c r="A15" s="10" t="s">
        <v>58</v>
      </c>
      <c r="B15" s="11">
        <f t="shared" ref="B15:H15" si="1">B8+B11+B12+B13+B14</f>
        <v>475052</v>
      </c>
      <c r="C15" s="11">
        <f t="shared" si="1"/>
        <v>635506</v>
      </c>
      <c r="D15" s="11">
        <f t="shared" si="1"/>
        <v>800815</v>
      </c>
      <c r="E15" s="11">
        <f t="shared" si="1"/>
        <v>632932</v>
      </c>
      <c r="F15" s="11">
        <f t="shared" si="1"/>
        <v>456356</v>
      </c>
      <c r="G15" s="11">
        <f t="shared" si="1"/>
        <v>651853</v>
      </c>
      <c r="H15" s="11">
        <f t="shared" si="1"/>
        <v>1034260</v>
      </c>
    </row>
    <row r="17" spans="1:8" x14ac:dyDescent="0.2">
      <c r="A17" s="6" t="s">
        <v>59</v>
      </c>
      <c r="B17" s="7"/>
      <c r="C17" s="7"/>
      <c r="D17" s="7"/>
      <c r="E17" s="7"/>
      <c r="F17" s="7"/>
      <c r="G17" s="7"/>
      <c r="H17" s="7"/>
    </row>
    <row r="18" spans="1:8" x14ac:dyDescent="0.2">
      <c r="A18" s="8" t="s">
        <v>60</v>
      </c>
      <c r="B18" s="9">
        <v>1821</v>
      </c>
      <c r="C18" s="9">
        <v>1597</v>
      </c>
      <c r="D18" s="9">
        <v>7062</v>
      </c>
      <c r="E18" s="9">
        <v>18351</v>
      </c>
      <c r="F18" s="9">
        <v>10004</v>
      </c>
      <c r="G18" s="9">
        <v>6774</v>
      </c>
      <c r="H18" s="9">
        <v>7256</v>
      </c>
    </row>
    <row r="19" spans="1:8" x14ac:dyDescent="0.2">
      <c r="A19" s="8" t="s">
        <v>61</v>
      </c>
      <c r="B19" s="9">
        <v>-27479</v>
      </c>
      <c r="C19" s="9">
        <v>-67901</v>
      </c>
      <c r="D19" s="9">
        <v>-7910</v>
      </c>
      <c r="E19" s="9">
        <v>-41060</v>
      </c>
      <c r="F19" s="9">
        <v>-22136</v>
      </c>
      <c r="G19" s="9">
        <v>-45309</v>
      </c>
      <c r="H19" s="9">
        <v>-28098</v>
      </c>
    </row>
    <row r="20" spans="1:8" x14ac:dyDescent="0.2">
      <c r="A20" s="10" t="s">
        <v>62</v>
      </c>
      <c r="B20" s="11">
        <f t="shared" ref="B20:H20" si="2">B18+B19</f>
        <v>-25658</v>
      </c>
      <c r="C20" s="11">
        <f t="shared" si="2"/>
        <v>-66304</v>
      </c>
      <c r="D20" s="11">
        <f t="shared" si="2"/>
        <v>-848</v>
      </c>
      <c r="E20" s="11">
        <f t="shared" si="2"/>
        <v>-22709</v>
      </c>
      <c r="F20" s="11">
        <f t="shared" si="2"/>
        <v>-12132</v>
      </c>
      <c r="G20" s="11">
        <f t="shared" si="2"/>
        <v>-38535</v>
      </c>
      <c r="H20" s="11">
        <f t="shared" si="2"/>
        <v>-20842</v>
      </c>
    </row>
    <row r="22" spans="1:8" x14ac:dyDescent="0.2">
      <c r="A22" s="12" t="s">
        <v>63</v>
      </c>
      <c r="B22" s="13">
        <f t="shared" ref="B22:H22" si="3">B15+B20</f>
        <v>449394</v>
      </c>
      <c r="C22" s="13">
        <f t="shared" si="3"/>
        <v>569202</v>
      </c>
      <c r="D22" s="13">
        <f t="shared" si="3"/>
        <v>799967</v>
      </c>
      <c r="E22" s="13">
        <f t="shared" si="3"/>
        <v>610223</v>
      </c>
      <c r="F22" s="13">
        <f t="shared" si="3"/>
        <v>444224</v>
      </c>
      <c r="G22" s="13">
        <f t="shared" si="3"/>
        <v>613318</v>
      </c>
      <c r="H22" s="13">
        <f t="shared" si="3"/>
        <v>1013418</v>
      </c>
    </row>
    <row r="24" spans="1:8" x14ac:dyDescent="0.2">
      <c r="A24" s="8" t="s">
        <v>64</v>
      </c>
      <c r="B24" s="9">
        <v>-148254</v>
      </c>
      <c r="C24" s="9">
        <v>-183643</v>
      </c>
      <c r="D24" s="9">
        <v>-247175</v>
      </c>
      <c r="E24" s="9">
        <v>-202878</v>
      </c>
      <c r="F24" s="9">
        <v>-148560</v>
      </c>
      <c r="G24" s="9">
        <v>-198190</v>
      </c>
      <c r="H24" s="9">
        <v>-293511</v>
      </c>
    </row>
    <row r="25" spans="1:8" x14ac:dyDescent="0.2">
      <c r="A25" s="12" t="s">
        <v>65</v>
      </c>
      <c r="B25" s="13">
        <f t="shared" ref="B25:H25" si="4">B22+B24</f>
        <v>301140</v>
      </c>
      <c r="C25" s="13">
        <f t="shared" si="4"/>
        <v>385559</v>
      </c>
      <c r="D25" s="13">
        <f t="shared" si="4"/>
        <v>552792</v>
      </c>
      <c r="E25" s="13">
        <f t="shared" si="4"/>
        <v>407345</v>
      </c>
      <c r="F25" s="13">
        <f t="shared" si="4"/>
        <v>295664</v>
      </c>
      <c r="G25" s="13">
        <f t="shared" si="4"/>
        <v>415128</v>
      </c>
      <c r="H25" s="13">
        <f t="shared" si="4"/>
        <v>719907</v>
      </c>
    </row>
    <row r="27" spans="1:8" x14ac:dyDescent="0.2">
      <c r="A27" s="8" t="s">
        <v>66</v>
      </c>
      <c r="B27" s="16">
        <v>0.83</v>
      </c>
      <c r="C27" s="16">
        <v>1.0620000000000001</v>
      </c>
      <c r="D27" s="16">
        <v>1.218</v>
      </c>
      <c r="E27" s="16">
        <v>0.89800000000000002</v>
      </c>
      <c r="F27" s="16">
        <v>0.49299999999999999</v>
      </c>
      <c r="G27" s="16">
        <v>0.51900000000000002</v>
      </c>
      <c r="H27" s="16">
        <v>0.72</v>
      </c>
    </row>
    <row r="29" spans="1:8" x14ac:dyDescent="0.2">
      <c r="A29" s="17" t="s">
        <v>67</v>
      </c>
      <c r="B29" s="18">
        <f t="shared" ref="B29:H29" si="5">B8/B6</f>
        <v>0.41609024559628727</v>
      </c>
      <c r="C29" s="18">
        <f t="shared" si="5"/>
        <v>0.47914428342875831</v>
      </c>
      <c r="D29" s="18">
        <f t="shared" si="5"/>
        <v>0.47617093259436349</v>
      </c>
      <c r="E29" s="18">
        <f t="shared" si="5"/>
        <v>0.42344056942157182</v>
      </c>
      <c r="F29" s="18">
        <f t="shared" si="5"/>
        <v>0.33530695921429682</v>
      </c>
      <c r="G29" s="18">
        <f t="shared" si="5"/>
        <v>0.34917000725079167</v>
      </c>
      <c r="H29" s="18">
        <f t="shared" si="5"/>
        <v>0.39430210418606526</v>
      </c>
    </row>
    <row r="30" spans="1:8" x14ac:dyDescent="0.2">
      <c r="A30" s="17" t="s">
        <v>68</v>
      </c>
      <c r="B30" s="18">
        <f t="shared" ref="B30:H30" si="6">B15/B6</f>
        <v>0.32123959213123532</v>
      </c>
      <c r="C30" s="18">
        <f t="shared" si="6"/>
        <v>0.3820843511631668</v>
      </c>
      <c r="D30" s="18">
        <f t="shared" si="6"/>
        <v>0.38084229819374371</v>
      </c>
      <c r="E30" s="18">
        <f t="shared" si="6"/>
        <v>0.30273934403254821</v>
      </c>
      <c r="F30" s="18">
        <f t="shared" si="6"/>
        <v>0.22902424458373691</v>
      </c>
      <c r="G30" s="18">
        <f t="shared" si="6"/>
        <v>0.24836838136649417</v>
      </c>
      <c r="H30" s="18">
        <f t="shared" si="6"/>
        <v>0.29769174199434989</v>
      </c>
    </row>
    <row r="31" spans="1:8" x14ac:dyDescent="0.2">
      <c r="A31" s="17" t="s">
        <v>69</v>
      </c>
      <c r="B31" s="18">
        <f t="shared" ref="B31:H31" si="7">B25/B6</f>
        <v>0.20363684559669301</v>
      </c>
      <c r="C31" s="18">
        <f t="shared" si="7"/>
        <v>0.23180907867135706</v>
      </c>
      <c r="D31" s="18">
        <f t="shared" si="7"/>
        <v>0.26289040003386049</v>
      </c>
      <c r="E31" s="18">
        <f t="shared" si="7"/>
        <v>0.19483824185684773</v>
      </c>
      <c r="F31" s="18">
        <f t="shared" si="7"/>
        <v>0.14838026507946864</v>
      </c>
      <c r="G31" s="18">
        <f t="shared" si="7"/>
        <v>0.15817165744410167</v>
      </c>
      <c r="H31" s="18">
        <f t="shared" si="7"/>
        <v>0.20721130944242883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0"/>
  <sheetViews>
    <sheetView showGridLines="0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baseColWidth="10" defaultColWidth="8.6640625" defaultRowHeight="15" x14ac:dyDescent="0.2"/>
  <cols>
    <col min="1" max="1" width="56" customWidth="1"/>
    <col min="2" max="8" width="13" customWidth="1"/>
  </cols>
  <sheetData>
    <row r="1" spans="1:8" ht="17" x14ac:dyDescent="0.2">
      <c r="A1" s="1" t="s">
        <v>0</v>
      </c>
    </row>
    <row r="2" spans="1:8" x14ac:dyDescent="0.2">
      <c r="A2" s="2" t="s">
        <v>70</v>
      </c>
    </row>
    <row r="3" spans="1:8" x14ac:dyDescent="0.2">
      <c r="A3" s="3" t="s">
        <v>2</v>
      </c>
    </row>
    <row r="5" spans="1:8" ht="18" customHeight="1" x14ac:dyDescent="0.2">
      <c r="A5" s="4" t="s">
        <v>3</v>
      </c>
      <c r="B5" s="5">
        <v>2019</v>
      </c>
      <c r="C5" s="5">
        <v>2020</v>
      </c>
      <c r="D5" s="5">
        <v>2021</v>
      </c>
      <c r="E5" s="5">
        <v>2022</v>
      </c>
      <c r="F5" s="5">
        <v>2023</v>
      </c>
      <c r="G5" s="5">
        <v>2024</v>
      </c>
      <c r="H5" s="5">
        <v>2025</v>
      </c>
    </row>
    <row r="6" spans="1:8" x14ac:dyDescent="0.2">
      <c r="A6" s="6" t="s">
        <v>71</v>
      </c>
      <c r="B6" s="7"/>
      <c r="C6" s="7"/>
      <c r="D6" s="7"/>
      <c r="E6" s="7"/>
      <c r="F6" s="7"/>
      <c r="G6" s="7"/>
      <c r="H6" s="7"/>
    </row>
    <row r="7" spans="1:8" x14ac:dyDescent="0.2">
      <c r="A7" s="8" t="s">
        <v>72</v>
      </c>
      <c r="B7" s="19">
        <f>Resultados!B25</f>
        <v>301140</v>
      </c>
      <c r="C7" s="19">
        <f>Resultados!C25</f>
        <v>385559</v>
      </c>
      <c r="D7" s="19">
        <f>Resultados!D25</f>
        <v>552792</v>
      </c>
      <c r="E7" s="19">
        <f>Resultados!E25</f>
        <v>407345</v>
      </c>
      <c r="F7" s="19">
        <f>Resultados!F25</f>
        <v>295664</v>
      </c>
      <c r="G7" s="19">
        <f>Resultados!G25</f>
        <v>415128</v>
      </c>
      <c r="H7" s="19">
        <f>Resultados!H25</f>
        <v>719907</v>
      </c>
    </row>
    <row r="8" spans="1:8" x14ac:dyDescent="0.2">
      <c r="A8" s="6" t="s">
        <v>73</v>
      </c>
      <c r="B8" s="7"/>
      <c r="C8" s="7"/>
      <c r="D8" s="7"/>
      <c r="E8" s="7"/>
      <c r="F8" s="7"/>
      <c r="G8" s="7"/>
      <c r="H8" s="7"/>
    </row>
    <row r="9" spans="1:8" x14ac:dyDescent="0.2">
      <c r="A9" s="8" t="s">
        <v>74</v>
      </c>
      <c r="B9" s="9">
        <v>30924</v>
      </c>
      <c r="C9" s="9">
        <v>34688</v>
      </c>
      <c r="D9" s="9">
        <v>43070</v>
      </c>
      <c r="E9" s="9">
        <v>46958</v>
      </c>
      <c r="F9" s="9">
        <v>45573</v>
      </c>
      <c r="G9" s="9">
        <v>55153</v>
      </c>
      <c r="H9" s="9">
        <v>64781</v>
      </c>
    </row>
    <row r="10" spans="1:8" x14ac:dyDescent="0.2">
      <c r="A10" s="8" t="s">
        <v>75</v>
      </c>
      <c r="B10" s="9">
        <v>170492</v>
      </c>
      <c r="C10" s="9">
        <v>208294</v>
      </c>
      <c r="D10" s="9">
        <v>210130</v>
      </c>
      <c r="E10" s="9">
        <v>221408</v>
      </c>
      <c r="F10" s="9">
        <v>233915</v>
      </c>
      <c r="G10" s="9">
        <v>298798</v>
      </c>
      <c r="H10" s="9">
        <v>378608</v>
      </c>
    </row>
    <row r="11" spans="1:8" x14ac:dyDescent="0.2">
      <c r="A11" s="8" t="s">
        <v>76</v>
      </c>
      <c r="B11" s="9">
        <v>5457</v>
      </c>
      <c r="C11" s="9">
        <v>1398</v>
      </c>
      <c r="D11" s="9">
        <v>1063</v>
      </c>
      <c r="E11" s="9">
        <v>411</v>
      </c>
      <c r="F11" s="9">
        <v>480</v>
      </c>
      <c r="G11" s="9">
        <v>132</v>
      </c>
      <c r="H11" s="9">
        <v>76</v>
      </c>
    </row>
    <row r="12" spans="1:8" x14ac:dyDescent="0.2">
      <c r="A12" s="8" t="s">
        <v>77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240</v>
      </c>
    </row>
    <row r="13" spans="1:8" x14ac:dyDescent="0.2">
      <c r="A13" s="8" t="s">
        <v>78</v>
      </c>
      <c r="B13" s="9">
        <v>0</v>
      </c>
      <c r="C13" s="9">
        <v>0</v>
      </c>
      <c r="D13" s="9">
        <v>0</v>
      </c>
      <c r="E13" s="9">
        <v>-26</v>
      </c>
      <c r="F13" s="9">
        <v>-9</v>
      </c>
      <c r="G13" s="9">
        <v>-32</v>
      </c>
      <c r="H13" s="9">
        <v>0</v>
      </c>
    </row>
    <row r="14" spans="1:8" x14ac:dyDescent="0.2">
      <c r="A14" s="8" t="s">
        <v>79</v>
      </c>
      <c r="B14" s="9">
        <v>328</v>
      </c>
      <c r="C14" s="9">
        <v>1549</v>
      </c>
      <c r="D14" s="9">
        <v>-1049</v>
      </c>
      <c r="E14" s="9">
        <v>553</v>
      </c>
      <c r="F14" s="9">
        <v>657</v>
      </c>
      <c r="G14" s="9">
        <v>934</v>
      </c>
      <c r="H14" s="9">
        <v>769</v>
      </c>
    </row>
    <row r="15" spans="1:8" x14ac:dyDescent="0.2">
      <c r="A15" s="8" t="s">
        <v>80</v>
      </c>
      <c r="B15" s="9">
        <v>11770</v>
      </c>
      <c r="C15" s="9">
        <v>-2650</v>
      </c>
      <c r="D15" s="9">
        <v>-6045</v>
      </c>
      <c r="E15" s="9">
        <v>6652</v>
      </c>
      <c r="F15" s="9">
        <v>21793</v>
      </c>
      <c r="G15" s="9">
        <v>30848</v>
      </c>
      <c r="H15" s="9">
        <v>-28835</v>
      </c>
    </row>
    <row r="16" spans="1:8" x14ac:dyDescent="0.2">
      <c r="A16" s="8" t="s">
        <v>81</v>
      </c>
      <c r="B16" s="9">
        <v>1182</v>
      </c>
      <c r="C16" s="9">
        <v>873</v>
      </c>
      <c r="D16" s="9">
        <v>877</v>
      </c>
      <c r="E16" s="9">
        <v>1490</v>
      </c>
      <c r="F16" s="9">
        <v>3784</v>
      </c>
      <c r="G16" s="9">
        <v>4924</v>
      </c>
      <c r="H16" s="9">
        <v>3569</v>
      </c>
    </row>
    <row r="17" spans="1:8" x14ac:dyDescent="0.2">
      <c r="A17" s="8" t="s">
        <v>82</v>
      </c>
      <c r="B17" s="9">
        <v>1292</v>
      </c>
      <c r="C17" s="9">
        <v>4846</v>
      </c>
      <c r="D17" s="9">
        <v>1118</v>
      </c>
      <c r="E17" s="9">
        <v>52337</v>
      </c>
      <c r="F17" s="9">
        <v>10125</v>
      </c>
      <c r="G17" s="9">
        <v>7900</v>
      </c>
      <c r="H17" s="9">
        <v>-97</v>
      </c>
    </row>
    <row r="18" spans="1:8" x14ac:dyDescent="0.2">
      <c r="A18" s="8" t="s">
        <v>83</v>
      </c>
      <c r="B18" s="9">
        <v>136484</v>
      </c>
      <c r="C18" s="9">
        <v>186293</v>
      </c>
      <c r="D18" s="9">
        <v>253220</v>
      </c>
      <c r="E18" s="9">
        <v>196226</v>
      </c>
      <c r="F18" s="9">
        <v>126767</v>
      </c>
      <c r="G18" s="9">
        <v>167342</v>
      </c>
      <c r="H18" s="9">
        <v>322346</v>
      </c>
    </row>
    <row r="19" spans="1:8" x14ac:dyDescent="0.2">
      <c r="A19" s="8" t="s">
        <v>84</v>
      </c>
      <c r="B19" s="9">
        <v>-694</v>
      </c>
      <c r="C19" s="9">
        <v>-584</v>
      </c>
      <c r="D19" s="9">
        <v>-5941</v>
      </c>
      <c r="E19" s="9">
        <v>33899</v>
      </c>
      <c r="F19" s="9">
        <v>3854</v>
      </c>
      <c r="G19" s="9">
        <v>4368</v>
      </c>
      <c r="H19" s="9">
        <v>-21980</v>
      </c>
    </row>
    <row r="20" spans="1:8" x14ac:dyDescent="0.2">
      <c r="A20" s="8" t="s">
        <v>85</v>
      </c>
      <c r="B20" s="9">
        <v>6520</v>
      </c>
      <c r="C20" s="9">
        <v>7521</v>
      </c>
      <c r="D20" s="9">
        <v>5264</v>
      </c>
      <c r="E20" s="9">
        <v>1512</v>
      </c>
      <c r="F20" s="9">
        <v>4494</v>
      </c>
      <c r="G20" s="9">
        <v>29243</v>
      </c>
      <c r="H20" s="9">
        <v>9413</v>
      </c>
    </row>
    <row r="21" spans="1:8" x14ac:dyDescent="0.2">
      <c r="A21" s="6" t="s">
        <v>86</v>
      </c>
      <c r="B21" s="7"/>
      <c r="C21" s="7"/>
      <c r="D21" s="7"/>
      <c r="E21" s="7"/>
      <c r="F21" s="7"/>
      <c r="G21" s="7"/>
      <c r="H21" s="7"/>
    </row>
    <row r="22" spans="1:8" x14ac:dyDescent="0.2">
      <c r="A22" s="8" t="s">
        <v>87</v>
      </c>
      <c r="B22" s="9">
        <v>-3190</v>
      </c>
      <c r="C22" s="9">
        <v>-3165</v>
      </c>
      <c r="D22" s="9">
        <v>2605</v>
      </c>
      <c r="E22" s="9">
        <v>-2447</v>
      </c>
      <c r="F22" s="9">
        <v>-1998</v>
      </c>
      <c r="G22" s="9">
        <v>-4665</v>
      </c>
      <c r="H22" s="9">
        <v>-14988</v>
      </c>
    </row>
    <row r="23" spans="1:8" x14ac:dyDescent="0.2">
      <c r="A23" s="8" t="s">
        <v>88</v>
      </c>
      <c r="B23" s="9">
        <v>12890</v>
      </c>
      <c r="C23" s="9">
        <v>7030</v>
      </c>
      <c r="D23" s="9">
        <v>96</v>
      </c>
      <c r="E23" s="9">
        <v>-50816</v>
      </c>
      <c r="F23" s="9">
        <v>-26070</v>
      </c>
      <c r="G23" s="9">
        <v>-16591</v>
      </c>
      <c r="H23" s="9">
        <v>15467</v>
      </c>
    </row>
    <row r="24" spans="1:8" x14ac:dyDescent="0.2">
      <c r="A24" s="8" t="s">
        <v>89</v>
      </c>
      <c r="B24" s="9">
        <v>-6785</v>
      </c>
      <c r="C24" s="9">
        <v>-5731</v>
      </c>
      <c r="D24" s="9">
        <v>-9772</v>
      </c>
      <c r="E24" s="9">
        <v>-10688</v>
      </c>
      <c r="F24" s="9">
        <v>2274</v>
      </c>
      <c r="G24" s="9">
        <v>-29349</v>
      </c>
      <c r="H24" s="9">
        <v>-5480</v>
      </c>
    </row>
    <row r="25" spans="1:8" x14ac:dyDescent="0.2">
      <c r="A25" s="8" t="s">
        <v>90</v>
      </c>
      <c r="B25" s="9">
        <v>-17688</v>
      </c>
      <c r="C25" s="9">
        <v>-377</v>
      </c>
      <c r="D25" s="9">
        <v>7950</v>
      </c>
      <c r="E25" s="9">
        <v>2503</v>
      </c>
      <c r="F25" s="9">
        <v>987</v>
      </c>
      <c r="G25" s="9">
        <v>2843</v>
      </c>
      <c r="H25" s="9">
        <v>-4945</v>
      </c>
    </row>
    <row r="26" spans="1:8" x14ac:dyDescent="0.2">
      <c r="A26" s="8" t="s">
        <v>91</v>
      </c>
      <c r="B26" s="9">
        <v>572</v>
      </c>
      <c r="C26" s="9">
        <v>14628</v>
      </c>
      <c r="D26" s="9">
        <v>433</v>
      </c>
      <c r="E26" s="9">
        <v>17352</v>
      </c>
      <c r="F26" s="9">
        <v>50277</v>
      </c>
      <c r="G26" s="9">
        <v>11529</v>
      </c>
      <c r="H26" s="9">
        <v>81727</v>
      </c>
    </row>
    <row r="27" spans="1:8" x14ac:dyDescent="0.2">
      <c r="A27" s="8" t="s">
        <v>92</v>
      </c>
      <c r="B27" s="9">
        <v>24464</v>
      </c>
      <c r="C27" s="9">
        <v>51330</v>
      </c>
      <c r="D27" s="9">
        <v>57757</v>
      </c>
      <c r="E27" s="9">
        <v>-42242</v>
      </c>
      <c r="F27" s="9">
        <v>39740</v>
      </c>
      <c r="G27" s="9">
        <v>-11936</v>
      </c>
      <c r="H27" s="9">
        <v>68946</v>
      </c>
    </row>
    <row r="28" spans="1:8" x14ac:dyDescent="0.2">
      <c r="A28" s="8" t="s">
        <v>93</v>
      </c>
      <c r="B28" s="9">
        <v>-1433</v>
      </c>
      <c r="C28" s="9">
        <v>-369</v>
      </c>
      <c r="D28" s="9">
        <v>-5024</v>
      </c>
      <c r="E28" s="9">
        <v>-3002</v>
      </c>
      <c r="F28" s="9">
        <v>-880</v>
      </c>
      <c r="G28" s="9">
        <v>-1159</v>
      </c>
      <c r="H28" s="9">
        <v>-5315</v>
      </c>
    </row>
    <row r="29" spans="1:8" x14ac:dyDescent="0.2">
      <c r="A29" s="10" t="s">
        <v>94</v>
      </c>
      <c r="B29" s="11">
        <f t="shared" ref="B29:H29" si="0">SUM(B7:B28)</f>
        <v>673725</v>
      </c>
      <c r="C29" s="11">
        <f t="shared" si="0"/>
        <v>891133</v>
      </c>
      <c r="D29" s="11">
        <f t="shared" si="0"/>
        <v>1108544</v>
      </c>
      <c r="E29" s="11">
        <f t="shared" si="0"/>
        <v>879425</v>
      </c>
      <c r="F29" s="11">
        <f t="shared" si="0"/>
        <v>811427</v>
      </c>
      <c r="G29" s="11">
        <f t="shared" si="0"/>
        <v>965410</v>
      </c>
      <c r="H29" s="11">
        <f t="shared" si="0"/>
        <v>1584209</v>
      </c>
    </row>
    <row r="31" spans="1:8" x14ac:dyDescent="0.2">
      <c r="A31" s="8" t="s">
        <v>95</v>
      </c>
      <c r="B31" s="9">
        <v>-7340</v>
      </c>
      <c r="C31" s="9">
        <v>-6623</v>
      </c>
      <c r="D31" s="9">
        <v>-6183</v>
      </c>
      <c r="E31" s="9">
        <v>-4881</v>
      </c>
      <c r="F31" s="9">
        <v>-8827</v>
      </c>
      <c r="G31" s="9">
        <v>-11459</v>
      </c>
      <c r="H31" s="9">
        <v>-10225</v>
      </c>
    </row>
    <row r="32" spans="1:8" x14ac:dyDescent="0.2">
      <c r="A32" s="8" t="s">
        <v>96</v>
      </c>
      <c r="B32" s="9">
        <v>-130875</v>
      </c>
      <c r="C32" s="9">
        <v>-166194</v>
      </c>
      <c r="D32" s="9">
        <v>-240251</v>
      </c>
      <c r="E32" s="9">
        <v>-198988</v>
      </c>
      <c r="F32" s="9">
        <v>-183674</v>
      </c>
      <c r="G32" s="9">
        <v>-135635</v>
      </c>
      <c r="H32" s="9">
        <v>-254824</v>
      </c>
    </row>
    <row r="33" spans="1:8" x14ac:dyDescent="0.2">
      <c r="A33" s="12" t="s">
        <v>97</v>
      </c>
      <c r="B33" s="13">
        <f t="shared" ref="B33:H33" si="1">B29+B31+B32</f>
        <v>535510</v>
      </c>
      <c r="C33" s="13">
        <f t="shared" si="1"/>
        <v>718316</v>
      </c>
      <c r="D33" s="13">
        <f t="shared" si="1"/>
        <v>862110</v>
      </c>
      <c r="E33" s="13">
        <f t="shared" si="1"/>
        <v>675556</v>
      </c>
      <c r="F33" s="13">
        <f t="shared" si="1"/>
        <v>618926</v>
      </c>
      <c r="G33" s="13">
        <f t="shared" si="1"/>
        <v>818316</v>
      </c>
      <c r="H33" s="13">
        <f t="shared" si="1"/>
        <v>1319160</v>
      </c>
    </row>
    <row r="36" spans="1:8" x14ac:dyDescent="0.2">
      <c r="A36" s="6" t="s">
        <v>98</v>
      </c>
      <c r="B36" s="7"/>
      <c r="C36" s="7"/>
      <c r="D36" s="7"/>
      <c r="E36" s="7"/>
      <c r="F36" s="7"/>
      <c r="G36" s="7"/>
      <c r="H36" s="7"/>
    </row>
    <row r="37" spans="1:8" x14ac:dyDescent="0.2">
      <c r="A37" s="8" t="s">
        <v>99</v>
      </c>
      <c r="B37" s="9">
        <v>0</v>
      </c>
      <c r="C37" s="9">
        <v>0</v>
      </c>
      <c r="D37" s="9">
        <v>0</v>
      </c>
      <c r="E37" s="9">
        <v>0</v>
      </c>
      <c r="F37" s="9">
        <v>171900</v>
      </c>
      <c r="G37" s="9">
        <v>0</v>
      </c>
      <c r="H37" s="9">
        <v>0</v>
      </c>
    </row>
    <row r="38" spans="1:8" x14ac:dyDescent="0.2">
      <c r="A38" s="8" t="s">
        <v>100</v>
      </c>
      <c r="B38" s="9">
        <v>0</v>
      </c>
      <c r="C38" s="9">
        <v>0</v>
      </c>
      <c r="D38" s="9">
        <v>0</v>
      </c>
      <c r="E38" s="9">
        <v>-171900</v>
      </c>
      <c r="F38" s="9">
        <v>0</v>
      </c>
      <c r="G38" s="9">
        <v>0</v>
      </c>
      <c r="H38" s="9">
        <v>0</v>
      </c>
    </row>
    <row r="39" spans="1:8" x14ac:dyDescent="0.2">
      <c r="A39" s="8" t="s">
        <v>101</v>
      </c>
      <c r="B39" s="9">
        <v>27</v>
      </c>
      <c r="C39" s="9">
        <v>0</v>
      </c>
      <c r="D39" s="9">
        <v>677</v>
      </c>
      <c r="E39" s="9">
        <v>651</v>
      </c>
      <c r="F39" s="9">
        <v>927</v>
      </c>
      <c r="G39" s="9">
        <v>674</v>
      </c>
      <c r="H39" s="9">
        <v>0</v>
      </c>
    </row>
    <row r="40" spans="1:8" x14ac:dyDescent="0.2">
      <c r="A40" s="8" t="s">
        <v>102</v>
      </c>
      <c r="B40" s="9">
        <v>-22517</v>
      </c>
      <c r="C40" s="9">
        <v>0</v>
      </c>
      <c r="D40" s="9">
        <v>0</v>
      </c>
      <c r="E40" s="9">
        <v>0</v>
      </c>
      <c r="F40" s="9">
        <v>0</v>
      </c>
      <c r="G40" s="9">
        <v>0</v>
      </c>
      <c r="H40" s="9">
        <v>0</v>
      </c>
    </row>
    <row r="41" spans="1:8" x14ac:dyDescent="0.2">
      <c r="A41" s="8" t="s">
        <v>103</v>
      </c>
      <c r="B41" s="9">
        <v>-262994</v>
      </c>
      <c r="C41" s="9">
        <v>-182497</v>
      </c>
      <c r="D41" s="9">
        <v>-211613</v>
      </c>
      <c r="E41" s="9">
        <v>-316482</v>
      </c>
      <c r="F41" s="9">
        <v>-386261</v>
      </c>
      <c r="G41" s="9">
        <v>-528468</v>
      </c>
      <c r="H41" s="9">
        <v>-541823</v>
      </c>
    </row>
    <row r="42" spans="1:8" x14ac:dyDescent="0.2">
      <c r="A42" s="8" t="s">
        <v>104</v>
      </c>
      <c r="B42" s="9">
        <v>-97648</v>
      </c>
      <c r="C42" s="9">
        <v>-86788</v>
      </c>
      <c r="D42" s="9">
        <v>-137600</v>
      </c>
      <c r="E42" s="9">
        <v>-175789</v>
      </c>
      <c r="F42" s="9">
        <v>-194014</v>
      </c>
      <c r="G42" s="9">
        <v>-205738</v>
      </c>
      <c r="H42" s="9">
        <v>-199300</v>
      </c>
    </row>
    <row r="43" spans="1:8" x14ac:dyDescent="0.2">
      <c r="A43" s="12" t="s">
        <v>105</v>
      </c>
      <c r="B43" s="13">
        <f t="shared" ref="B43:H43" si="2">SUM(B35:B42)</f>
        <v>-383132</v>
      </c>
      <c r="C43" s="13">
        <f t="shared" si="2"/>
        <v>-269285</v>
      </c>
      <c r="D43" s="13">
        <f t="shared" si="2"/>
        <v>-348536</v>
      </c>
      <c r="E43" s="13">
        <f t="shared" si="2"/>
        <v>-663520</v>
      </c>
      <c r="F43" s="13">
        <f t="shared" si="2"/>
        <v>-407448</v>
      </c>
      <c r="G43" s="13">
        <f t="shared" si="2"/>
        <v>-733532</v>
      </c>
      <c r="H43" s="13">
        <f t="shared" si="2"/>
        <v>-741123</v>
      </c>
    </row>
    <row r="46" spans="1:8" x14ac:dyDescent="0.2">
      <c r="A46" s="6" t="s">
        <v>106</v>
      </c>
      <c r="B46" s="7"/>
      <c r="C46" s="7"/>
      <c r="D46" s="7"/>
      <c r="E46" s="7"/>
      <c r="F46" s="7"/>
      <c r="G46" s="7"/>
      <c r="H46" s="7"/>
    </row>
    <row r="47" spans="1:8" x14ac:dyDescent="0.2">
      <c r="A47" s="8" t="s">
        <v>107</v>
      </c>
      <c r="B47" s="9">
        <v>39804</v>
      </c>
      <c r="C47" s="9">
        <v>105096</v>
      </c>
      <c r="D47" s="9">
        <v>0</v>
      </c>
      <c r="E47" s="9">
        <v>58800</v>
      </c>
      <c r="F47" s="9">
        <v>155946</v>
      </c>
      <c r="G47" s="9">
        <v>68004</v>
      </c>
      <c r="H47" s="9">
        <v>238472</v>
      </c>
    </row>
    <row r="48" spans="1:8" x14ac:dyDescent="0.2">
      <c r="A48" s="8" t="s">
        <v>108</v>
      </c>
      <c r="B48" s="9">
        <v>-8052</v>
      </c>
      <c r="C48" s="9">
        <v>-40767</v>
      </c>
      <c r="D48" s="9">
        <v>0</v>
      </c>
      <c r="E48" s="9">
        <v>-50830</v>
      </c>
      <c r="F48" s="9">
        <v>-54030</v>
      </c>
      <c r="G48" s="9">
        <v>-67860</v>
      </c>
      <c r="H48" s="9">
        <v>-114036</v>
      </c>
    </row>
    <row r="49" spans="1:8" x14ac:dyDescent="0.2">
      <c r="A49" s="8" t="s">
        <v>109</v>
      </c>
      <c r="B49" s="9">
        <v>-32235</v>
      </c>
      <c r="C49" s="9">
        <v>-93962</v>
      </c>
      <c r="D49" s="9">
        <v>-19618</v>
      </c>
      <c r="E49" s="9">
        <v>-15429</v>
      </c>
      <c r="F49" s="9">
        <v>-36479</v>
      </c>
      <c r="G49" s="9">
        <v>-30100</v>
      </c>
      <c r="H49" s="9">
        <v>-28554</v>
      </c>
    </row>
    <row r="50" spans="1:8" x14ac:dyDescent="0.2">
      <c r="A50" s="8" t="s">
        <v>110</v>
      </c>
      <c r="B50" s="9">
        <v>-18781</v>
      </c>
      <c r="C50" s="9">
        <v>-16642</v>
      </c>
      <c r="D50" s="9">
        <v>-12664</v>
      </c>
      <c r="E50" s="9">
        <v>-11836</v>
      </c>
      <c r="F50" s="9">
        <v>-6274</v>
      </c>
      <c r="G50" s="9">
        <v>-5521</v>
      </c>
      <c r="H50" s="9">
        <v>-2663</v>
      </c>
    </row>
    <row r="51" spans="1:8" x14ac:dyDescent="0.2">
      <c r="A51" s="8" t="s">
        <v>111</v>
      </c>
      <c r="B51" s="9">
        <v>-116640</v>
      </c>
      <c r="C51" s="9">
        <v>-156082</v>
      </c>
      <c r="D51" s="9">
        <v>-231274</v>
      </c>
      <c r="E51" s="9">
        <v>-330678</v>
      </c>
      <c r="F51" s="9">
        <v>-245036</v>
      </c>
      <c r="G51" s="9">
        <v>-177216</v>
      </c>
      <c r="H51" s="9">
        <v>-396450</v>
      </c>
    </row>
    <row r="52" spans="1:8" x14ac:dyDescent="0.2">
      <c r="A52" s="12" t="s">
        <v>112</v>
      </c>
      <c r="B52" s="13">
        <f t="shared" ref="B52:H52" si="3">SUM(B45:B51)</f>
        <v>-135904</v>
      </c>
      <c r="C52" s="13">
        <f t="shared" si="3"/>
        <v>-202357</v>
      </c>
      <c r="D52" s="13">
        <f t="shared" si="3"/>
        <v>-263556</v>
      </c>
      <c r="E52" s="13">
        <f t="shared" si="3"/>
        <v>-349973</v>
      </c>
      <c r="F52" s="13">
        <f t="shared" si="3"/>
        <v>-185873</v>
      </c>
      <c r="G52" s="13">
        <f t="shared" si="3"/>
        <v>-212693</v>
      </c>
      <c r="H52" s="13">
        <f t="shared" si="3"/>
        <v>-303231</v>
      </c>
    </row>
    <row r="54" spans="1:8" x14ac:dyDescent="0.2">
      <c r="A54" s="10" t="s">
        <v>113</v>
      </c>
      <c r="B54" s="11">
        <f t="shared" ref="B54:H54" si="4">B33+B43+B52</f>
        <v>16474</v>
      </c>
      <c r="C54" s="11">
        <f t="shared" si="4"/>
        <v>246674</v>
      </c>
      <c r="D54" s="11">
        <f t="shared" si="4"/>
        <v>250018</v>
      </c>
      <c r="E54" s="11">
        <f t="shared" si="4"/>
        <v>-337937</v>
      </c>
      <c r="F54" s="11">
        <f t="shared" si="4"/>
        <v>25605</v>
      </c>
      <c r="G54" s="11">
        <f t="shared" si="4"/>
        <v>-127909</v>
      </c>
      <c r="H54" s="11">
        <f t="shared" si="4"/>
        <v>274806</v>
      </c>
    </row>
    <row r="56" spans="1:8" x14ac:dyDescent="0.2">
      <c r="A56" s="8" t="s">
        <v>114</v>
      </c>
      <c r="B56" s="9">
        <v>101663</v>
      </c>
      <c r="C56" s="9">
        <v>118831</v>
      </c>
      <c r="D56" s="9">
        <v>366089</v>
      </c>
      <c r="E56" s="9">
        <v>622048</v>
      </c>
      <c r="F56" s="9">
        <v>254238</v>
      </c>
      <c r="G56" s="9">
        <v>277363</v>
      </c>
      <c r="H56" s="9">
        <v>147809</v>
      </c>
    </row>
    <row r="57" spans="1:8" x14ac:dyDescent="0.2">
      <c r="A57" s="8" t="s">
        <v>115</v>
      </c>
      <c r="B57" s="9">
        <v>694</v>
      </c>
      <c r="C57" s="9">
        <v>584</v>
      </c>
      <c r="D57" s="9">
        <v>5941</v>
      </c>
      <c r="E57" s="9">
        <v>-29873</v>
      </c>
      <c r="F57" s="9">
        <v>-2480</v>
      </c>
      <c r="G57" s="9">
        <v>-1645</v>
      </c>
      <c r="H57" s="9">
        <v>1720</v>
      </c>
    </row>
    <row r="58" spans="1:8" x14ac:dyDescent="0.2">
      <c r="A58" s="12" t="s">
        <v>116</v>
      </c>
      <c r="B58" s="13">
        <f t="shared" ref="B58:H58" si="5">B54+B56+B57</f>
        <v>118831</v>
      </c>
      <c r="C58" s="13">
        <f t="shared" si="5"/>
        <v>366089</v>
      </c>
      <c r="D58" s="13">
        <f t="shared" si="5"/>
        <v>622048</v>
      </c>
      <c r="E58" s="13">
        <f t="shared" si="5"/>
        <v>254238</v>
      </c>
      <c r="F58" s="13">
        <f t="shared" si="5"/>
        <v>277363</v>
      </c>
      <c r="G58" s="13">
        <f t="shared" si="5"/>
        <v>147809</v>
      </c>
      <c r="H58" s="13">
        <f t="shared" si="5"/>
        <v>424335</v>
      </c>
    </row>
    <row r="60" spans="1:8" x14ac:dyDescent="0.2">
      <c r="A60" s="20" t="s">
        <v>117</v>
      </c>
      <c r="B60" s="21">
        <f>B58-'Situacion Financiera'!B8</f>
        <v>0</v>
      </c>
      <c r="C60" s="21">
        <f>C58-'Situacion Financiera'!C8</f>
        <v>0</v>
      </c>
      <c r="D60" s="21">
        <f>D58-'Situacion Financiera'!D8</f>
        <v>0</v>
      </c>
      <c r="E60" s="21">
        <f>E58-'Situacion Financiera'!E8</f>
        <v>0</v>
      </c>
      <c r="F60" s="21">
        <f>F58-'Situacion Financiera'!F8</f>
        <v>0</v>
      </c>
      <c r="G60" s="21">
        <f>G58-'Situacion Financiera'!G8</f>
        <v>0</v>
      </c>
      <c r="H60" s="21">
        <f>H58-'Situacion Financiera'!H8</f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0DE77-5741-5142-9C53-6007B92A0ADE}">
  <dimension ref="A1:H77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N25" sqref="N25"/>
    </sheetView>
  </sheetViews>
  <sheetFormatPr baseColWidth="10" defaultRowHeight="15" x14ac:dyDescent="0.2"/>
  <cols>
    <col min="1" max="1" width="43.33203125" customWidth="1"/>
    <col min="2" max="8" width="13" customWidth="1"/>
  </cols>
  <sheetData>
    <row r="1" spans="1:8" ht="19" x14ac:dyDescent="0.25">
      <c r="A1" s="26" t="s">
        <v>0</v>
      </c>
      <c r="B1" s="27"/>
      <c r="C1" s="27"/>
      <c r="D1" s="27"/>
      <c r="E1" s="27"/>
      <c r="F1" s="27"/>
      <c r="G1" s="27"/>
      <c r="H1" s="27"/>
    </row>
    <row r="2" spans="1:8" x14ac:dyDescent="0.2">
      <c r="A2" s="28" t="s">
        <v>149</v>
      </c>
      <c r="B2" s="27"/>
      <c r="C2" s="27"/>
      <c r="D2" s="27"/>
      <c r="E2" s="27"/>
      <c r="F2" s="27"/>
      <c r="G2" s="27"/>
      <c r="H2" s="27"/>
    </row>
    <row r="3" spans="1:8" x14ac:dyDescent="0.2">
      <c r="A3" s="29" t="s">
        <v>150</v>
      </c>
      <c r="B3" s="27"/>
      <c r="C3" s="27"/>
      <c r="D3" s="27"/>
      <c r="E3" s="27"/>
      <c r="F3" s="27"/>
      <c r="G3" s="27"/>
      <c r="H3" s="27"/>
    </row>
    <row r="4" spans="1:8" x14ac:dyDescent="0.2">
      <c r="A4" s="27"/>
      <c r="B4" s="27"/>
      <c r="C4" s="27"/>
      <c r="D4" s="27"/>
      <c r="E4" s="27"/>
      <c r="F4" s="27"/>
      <c r="G4" s="27"/>
      <c r="H4" s="27"/>
    </row>
    <row r="5" spans="1:8" x14ac:dyDescent="0.2">
      <c r="A5" s="30" t="s">
        <v>151</v>
      </c>
      <c r="B5" s="31">
        <v>2019</v>
      </c>
      <c r="C5" s="31">
        <v>2020</v>
      </c>
      <c r="D5" s="31">
        <v>2021</v>
      </c>
      <c r="E5" s="31">
        <v>2022</v>
      </c>
      <c r="F5" s="31">
        <v>2023</v>
      </c>
      <c r="G5" s="31">
        <v>2024</v>
      </c>
      <c r="H5" s="31">
        <v>2025</v>
      </c>
    </row>
    <row r="6" spans="1:8" x14ac:dyDescent="0.2">
      <c r="A6" s="32" t="s">
        <v>152</v>
      </c>
      <c r="B6" s="28"/>
      <c r="C6" s="28"/>
      <c r="D6" s="28"/>
      <c r="E6" s="28"/>
      <c r="F6" s="28"/>
      <c r="G6" s="28"/>
      <c r="H6" s="28"/>
    </row>
    <row r="7" spans="1:8" x14ac:dyDescent="0.2">
      <c r="A7" s="37" t="s">
        <v>153</v>
      </c>
      <c r="B7" s="33">
        <f>'Situacion Financiera'!B14/'Situacion Financiera'!B39</f>
        <v>0.7273097078318298</v>
      </c>
      <c r="C7" s="33">
        <f>'Situacion Financiera'!C14/'Situacion Financiera'!C39</f>
        <v>1.3739602533201003</v>
      </c>
      <c r="D7" s="33">
        <f>'Situacion Financiera'!D14/'Situacion Financiera'!D39</f>
        <v>1.804572048374641</v>
      </c>
      <c r="E7" s="33">
        <f>'Situacion Financiera'!E14/'Situacion Financiera'!E39</f>
        <v>1.5040665434380776</v>
      </c>
      <c r="F7" s="33">
        <f>'Situacion Financiera'!F14/'Situacion Financiera'!F39</f>
        <v>1.0866632981037798</v>
      </c>
      <c r="G7" s="33">
        <f>'Situacion Financiera'!G14/'Situacion Financiera'!G39</f>
        <v>0.8131904096022986</v>
      </c>
      <c r="H7" s="33">
        <f>'Situacion Financiera'!H14/'Situacion Financiera'!H39</f>
        <v>0.8412977135437828</v>
      </c>
    </row>
    <row r="8" spans="1:8" x14ac:dyDescent="0.2">
      <c r="A8" s="37" t="s">
        <v>154</v>
      </c>
      <c r="B8" s="33">
        <f>('Situacion Financiera'!B14-'Situacion Financiera'!B12-'Situacion Financiera'!B13)/'Situacion Financiera'!B39</f>
        <v>0.52017693488345063</v>
      </c>
      <c r="C8" s="33">
        <f>('Situacion Financiera'!C14-'Situacion Financiera'!C12-'Situacion Financiera'!C13)/'Situacion Financiera'!C39</f>
        <v>1.168427146840588</v>
      </c>
      <c r="D8" s="33">
        <f>('Situacion Financiera'!D14-'Situacion Financiera'!D12-'Situacion Financiera'!D13)/'Situacion Financiera'!D39</f>
        <v>1.6215426602053848</v>
      </c>
      <c r="E8" s="33">
        <f>('Situacion Financiera'!E14-'Situacion Financiera'!E12-'Situacion Financiera'!E13)/'Situacion Financiera'!E39</f>
        <v>1.2858826247689463</v>
      </c>
      <c r="F8" s="33">
        <f>('Situacion Financiera'!F14-'Situacion Financiera'!F12-'Situacion Financiera'!F13)/'Situacion Financiera'!F39</f>
        <v>0.88846080068868394</v>
      </c>
      <c r="G8" s="33">
        <f>('Situacion Financiera'!G14-'Situacion Financiera'!G12-'Situacion Financiera'!G13)/'Situacion Financiera'!G39</f>
        <v>0.5768009622700051</v>
      </c>
      <c r="H8" s="33">
        <f>('Situacion Financiera'!H14-'Situacion Financiera'!H12-'Situacion Financiera'!H13)/'Situacion Financiera'!H39</f>
        <v>0.69475251953658212</v>
      </c>
    </row>
    <row r="9" spans="1:8" x14ac:dyDescent="0.2">
      <c r="A9" s="37" t="s">
        <v>155</v>
      </c>
      <c r="B9" s="33">
        <f>('Situacion Financiera'!B8+'Situacion Financiera'!B9)/'Situacion Financiera'!B39</f>
        <v>0.40620844542741602</v>
      </c>
      <c r="C9" s="33">
        <f>('Situacion Financiera'!C8+'Situacion Financiera'!C9)/'Situacion Financiera'!C39</f>
        <v>1.081363131527955</v>
      </c>
      <c r="D9" s="33">
        <f>('Situacion Financiera'!D8+'Situacion Financiera'!D9)/'Situacion Financiera'!D39</f>
        <v>1.5546264061160582</v>
      </c>
      <c r="E9" s="33">
        <f>('Situacion Financiera'!E8+'Situacion Financiera'!E9)/'Situacion Financiera'!E39</f>
        <v>1.0940080098582872</v>
      </c>
      <c r="F9" s="33">
        <f>('Situacion Financiera'!F8+'Situacion Financiera'!F9)/'Situacion Financiera'!F39</f>
        <v>0.648829658324795</v>
      </c>
      <c r="G9" s="33">
        <f>('Situacion Financiera'!G8+'Situacion Financiera'!G9)/'Situacion Financiera'!G39</f>
        <v>0.31411697701007746</v>
      </c>
      <c r="H9" s="33">
        <f>('Situacion Financiera'!H8+'Situacion Financiera'!H9)/'Situacion Financiera'!H39</f>
        <v>0.54387768311580442</v>
      </c>
    </row>
    <row r="10" spans="1:8" x14ac:dyDescent="0.2">
      <c r="A10" s="37" t="s">
        <v>156</v>
      </c>
      <c r="B10" s="34">
        <f>'Situacion Financiera'!B14-'Situacion Financiera'!B39</f>
        <v>-79772</v>
      </c>
      <c r="C10" s="34">
        <f>'Situacion Financiera'!C14-'Situacion Financiera'!C39</f>
        <v>126602</v>
      </c>
      <c r="D10" s="34">
        <f>'Situacion Financiera'!D14-'Situacion Financiera'!D39</f>
        <v>321931</v>
      </c>
      <c r="E10" s="34">
        <f>'Situacion Financiera'!E14-'Situacion Financiera'!E39</f>
        <v>196344</v>
      </c>
      <c r="F10" s="34">
        <f>'Situacion Financiera'!F14-'Situacion Financiera'!F39</f>
        <v>37047</v>
      </c>
      <c r="G10" s="34">
        <f>'Situacion Financiera'!G14-'Situacion Financiera'!G39</f>
        <v>-87904</v>
      </c>
      <c r="H10" s="34">
        <f>'Situacion Financiera'!H14-'Situacion Financiera'!H39</f>
        <v>-123820</v>
      </c>
    </row>
    <row r="11" spans="1:8" x14ac:dyDescent="0.2">
      <c r="A11" s="37" t="s">
        <v>157</v>
      </c>
      <c r="B11" s="35">
        <f>B10/Resultados!B6</f>
        <v>-5.3943409865641875E-2</v>
      </c>
      <c r="C11" s="35">
        <f>C10/Resultados!C6</f>
        <v>7.6116736940263732E-2</v>
      </c>
      <c r="D11" s="35">
        <f>D10/Resultados!D6</f>
        <v>0.15310020653935066</v>
      </c>
      <c r="E11" s="35">
        <f>E10/Resultados!E6</f>
        <v>9.3913807114708453E-2</v>
      </c>
      <c r="F11" s="35">
        <f>F10/Resultados!F6</f>
        <v>1.859219817224645E-2</v>
      </c>
      <c r="G11" s="35">
        <f>G10/Resultados!G6</f>
        <v>-3.3493094602065655E-2</v>
      </c>
      <c r="H11" s="35">
        <f>H10/Resultados!H6</f>
        <v>-3.563919275012125E-2</v>
      </c>
    </row>
    <row r="12" spans="1:8" x14ac:dyDescent="0.2">
      <c r="A12" s="37"/>
      <c r="B12" s="27"/>
      <c r="C12" s="27"/>
      <c r="D12" s="27"/>
      <c r="E12" s="27"/>
      <c r="F12" s="27"/>
      <c r="G12" s="27"/>
      <c r="H12" s="27"/>
    </row>
    <row r="13" spans="1:8" x14ac:dyDescent="0.2">
      <c r="A13" s="38" t="s">
        <v>158</v>
      </c>
      <c r="B13" s="27"/>
      <c r="C13" s="27"/>
      <c r="D13" s="27"/>
      <c r="E13" s="27"/>
      <c r="F13" s="27"/>
      <c r="G13" s="27"/>
      <c r="H13" s="27"/>
    </row>
    <row r="14" spans="1:8" x14ac:dyDescent="0.2">
      <c r="A14" s="37" t="s">
        <v>159</v>
      </c>
      <c r="B14" s="33">
        <f>Resultados!B6/'Situacion Financiera'!B10</f>
        <v>153.69039700685929</v>
      </c>
      <c r="C14" s="33">
        <f>Resultados!C6/'Situacion Financiera'!C10</f>
        <v>130.07437240947837</v>
      </c>
      <c r="D14" s="33">
        <f>Resultados!D6/'Situacion Financiera'!D10</f>
        <v>206.49582637729549</v>
      </c>
      <c r="E14" s="33">
        <f>Resultados!E6/'Situacion Financiera'!E10</f>
        <v>165.53309580364211</v>
      </c>
      <c r="F14" s="33">
        <f>Resultados!F6/'Situacion Financiera'!F10</f>
        <v>136.21889526934646</v>
      </c>
      <c r="G14" s="33">
        <f>Resultados!G6/'Situacion Financiera'!G10</f>
        <v>136.03591976364484</v>
      </c>
      <c r="H14" s="33">
        <f>Resultados!H6/'Situacion Financiera'!H10</f>
        <v>101.34666433301246</v>
      </c>
    </row>
    <row r="15" spans="1:8" x14ac:dyDescent="0.2">
      <c r="A15" s="37" t="s">
        <v>160</v>
      </c>
      <c r="B15" s="36">
        <f>365/B14</f>
        <v>2.3749043994187216</v>
      </c>
      <c r="C15" s="36">
        <f t="shared" ref="C15:H15" si="0">365/C14</f>
        <v>2.8060869580901615</v>
      </c>
      <c r="D15" s="36">
        <f t="shared" si="0"/>
        <v>1.76759020462281</v>
      </c>
      <c r="E15" s="36">
        <f t="shared" si="0"/>
        <v>2.2049971229497731</v>
      </c>
      <c r="F15" s="36">
        <f t="shared" si="0"/>
        <v>2.6795107923778358</v>
      </c>
      <c r="G15" s="36">
        <f t="shared" si="0"/>
        <v>2.6831148760869046</v>
      </c>
      <c r="H15" s="36">
        <f t="shared" si="0"/>
        <v>3.6014998855873115</v>
      </c>
    </row>
    <row r="16" spans="1:8" x14ac:dyDescent="0.2">
      <c r="A16" s="37" t="s">
        <v>161</v>
      </c>
      <c r="B16" s="33">
        <f>-Resultados!B7/'Situacion Financiera'!B12</f>
        <v>19.46860415304489</v>
      </c>
      <c r="C16" s="33">
        <f>-Resultados!C7/'Situacion Financiera'!C12</f>
        <v>17.297320501557383</v>
      </c>
      <c r="D16" s="33">
        <f>-Resultados!D7/'Situacion Financiera'!D12</f>
        <v>18.402165196471532</v>
      </c>
      <c r="E16" s="33">
        <f>-Resultados!E7/'Situacion Financiera'!E12</f>
        <v>17.087250510319802</v>
      </c>
      <c r="F16" s="33">
        <f>-Resultados!F7/'Situacion Financiera'!F12</f>
        <v>19.400527318002052</v>
      </c>
      <c r="G16" s="33">
        <f>-Resultados!G7/'Situacion Financiera'!G12</f>
        <v>17.4979256087442</v>
      </c>
      <c r="H16" s="33">
        <f>-Resultados!H7/'Situacion Financiera'!H12</f>
        <v>20.458637552377528</v>
      </c>
    </row>
    <row r="17" spans="1:8" x14ac:dyDescent="0.2">
      <c r="A17" s="37" t="s">
        <v>162</v>
      </c>
      <c r="B17" s="36">
        <f>365/B16</f>
        <v>18.74813402803272</v>
      </c>
      <c r="C17" s="36">
        <f t="shared" ref="C17:H17" si="1">365/C16</f>
        <v>21.101534192370249</v>
      </c>
      <c r="D17" s="36">
        <f t="shared" si="1"/>
        <v>19.834622507898462</v>
      </c>
      <c r="E17" s="36">
        <f t="shared" si="1"/>
        <v>21.360955630606526</v>
      </c>
      <c r="F17" s="36">
        <f t="shared" si="1"/>
        <v>18.813921602085053</v>
      </c>
      <c r="G17" s="36">
        <f t="shared" si="1"/>
        <v>20.859615485940765</v>
      </c>
      <c r="H17" s="36">
        <f t="shared" si="1"/>
        <v>17.84087523255344</v>
      </c>
    </row>
    <row r="18" spans="1:8" x14ac:dyDescent="0.2">
      <c r="A18" s="37" t="s">
        <v>163</v>
      </c>
      <c r="B18" s="33">
        <f>-Resultados!B7/'Situacion Financiera'!B30</f>
        <v>12.165100519857427</v>
      </c>
      <c r="C18" s="33">
        <f>-Resultados!C7/'Situacion Financiera'!C30</f>
        <v>10.119485100865564</v>
      </c>
      <c r="D18" s="33">
        <f>-Resultados!D7/'Situacion Financiera'!D30</f>
        <v>12.801655005694894</v>
      </c>
      <c r="E18" s="33">
        <f>-Resultados!E7/'Situacion Financiera'!E30</f>
        <v>11.658345745401087</v>
      </c>
      <c r="F18" s="33">
        <f>-Resultados!F7/'Situacion Financiera'!F30</f>
        <v>6.2940712439172746</v>
      </c>
      <c r="G18" s="33">
        <f>-Resultados!G7/'Situacion Financiera'!G30</f>
        <v>7.6956312144926358</v>
      </c>
      <c r="H18" s="33">
        <f>-Resultados!H7/'Situacion Financiera'!H30</f>
        <v>6.9293320776586498</v>
      </c>
    </row>
    <row r="19" spans="1:8" x14ac:dyDescent="0.2">
      <c r="A19" s="37" t="s">
        <v>164</v>
      </c>
      <c r="B19" s="36">
        <f>365/B18</f>
        <v>30.003862229021493</v>
      </c>
      <c r="C19" s="36">
        <f t="shared" ref="C19:H19" si="2">365/C18</f>
        <v>36.069028845032832</v>
      </c>
      <c r="D19" s="36">
        <f t="shared" si="2"/>
        <v>28.511938482768638</v>
      </c>
      <c r="E19" s="36">
        <f t="shared" si="2"/>
        <v>31.308043865827443</v>
      </c>
      <c r="F19" s="36">
        <f t="shared" si="2"/>
        <v>57.991081742638968</v>
      </c>
      <c r="G19" s="36">
        <f t="shared" si="2"/>
        <v>47.429507707258814</v>
      </c>
      <c r="H19" s="36">
        <f t="shared" si="2"/>
        <v>52.674629518308457</v>
      </c>
    </row>
    <row r="20" spans="1:8" x14ac:dyDescent="0.2">
      <c r="A20" s="37" t="s">
        <v>165</v>
      </c>
      <c r="B20" s="36">
        <f>B15+B17-B19</f>
        <v>-8.8808238015700525</v>
      </c>
      <c r="C20" s="36">
        <f t="shared" ref="C20:H20" si="3">C15+C17-C19</f>
        <v>-12.161407694572421</v>
      </c>
      <c r="D20" s="36">
        <f t="shared" si="3"/>
        <v>-6.9097257702473662</v>
      </c>
      <c r="E20" s="36">
        <f t="shared" si="3"/>
        <v>-7.7420911122711438</v>
      </c>
      <c r="F20" s="36">
        <f t="shared" si="3"/>
        <v>-36.497649348176083</v>
      </c>
      <c r="G20" s="36">
        <f t="shared" si="3"/>
        <v>-23.886777345231145</v>
      </c>
      <c r="H20" s="36">
        <f t="shared" si="3"/>
        <v>-31.232254400167704</v>
      </c>
    </row>
    <row r="21" spans="1:8" x14ac:dyDescent="0.2">
      <c r="A21" s="37" t="s">
        <v>166</v>
      </c>
      <c r="B21" s="33">
        <f>Resultados!B6/'Situacion Financiera'!B25</f>
        <v>1.0635103394611138</v>
      </c>
      <c r="C21" s="33">
        <f>Resultados!C6/'Situacion Financiera'!C25</f>
        <v>0.97362322420669178</v>
      </c>
      <c r="D21" s="33">
        <f>Resultados!D6/'Situacion Financiera'!D25</f>
        <v>1.0147178330006834</v>
      </c>
      <c r="E21" s="33">
        <f>Resultados!E6/'Situacion Financiera'!E25</f>
        <v>0.99514774068162959</v>
      </c>
      <c r="F21" s="33">
        <f>Resultados!F6/'Situacion Financiera'!F25</f>
        <v>0.8561178434325315</v>
      </c>
      <c r="G21" s="33">
        <f>Resultados!G6/'Situacion Financiera'!G25</f>
        <v>1.0321497126582562</v>
      </c>
      <c r="H21" s="33">
        <f>Resultados!H6/'Situacion Financiera'!H25</f>
        <v>1.089506103152114</v>
      </c>
    </row>
    <row r="22" spans="1:8" x14ac:dyDescent="0.2">
      <c r="A22" s="37" t="s">
        <v>167</v>
      </c>
      <c r="B22" s="33">
        <f>Resultados!B6/'Situacion Financiera'!B20</f>
        <v>2.6628941961576622</v>
      </c>
      <c r="C22" s="33">
        <f>Resultados!C6/'Situacion Financiera'!C20</f>
        <v>2.4873944929981038</v>
      </c>
      <c r="D22" s="33">
        <f>Resultados!D6/'Situacion Financiera'!D20</f>
        <v>2.7621312610258815</v>
      </c>
      <c r="E22" s="33">
        <f>Resultados!E6/'Situacion Financiera'!E20</f>
        <v>2.5203466574726168</v>
      </c>
      <c r="F22" s="33">
        <f>Resultados!F6/'Situacion Financiera'!F20</f>
        <v>1.9236286756897649</v>
      </c>
      <c r="G22" s="33">
        <f>Resultados!G6/'Situacion Financiera'!G20</f>
        <v>2.3712960653995858</v>
      </c>
      <c r="H22" s="33">
        <f>Resultados!H6/'Situacion Financiera'!H20</f>
        <v>2.6613339359306298</v>
      </c>
    </row>
    <row r="23" spans="1:8" x14ac:dyDescent="0.2">
      <c r="A23" s="37"/>
      <c r="B23" s="27"/>
      <c r="C23" s="27"/>
      <c r="D23" s="27"/>
      <c r="E23" s="27"/>
      <c r="F23" s="27"/>
      <c r="G23" s="27"/>
      <c r="H23" s="27"/>
    </row>
    <row r="24" spans="1:8" x14ac:dyDescent="0.2">
      <c r="A24" s="38" t="s">
        <v>168</v>
      </c>
      <c r="B24" s="27"/>
      <c r="C24" s="27"/>
      <c r="D24" s="27"/>
      <c r="E24" s="27"/>
      <c r="F24" s="27"/>
      <c r="G24" s="27"/>
      <c r="H24" s="27"/>
    </row>
    <row r="25" spans="1:8" x14ac:dyDescent="0.2">
      <c r="A25" s="37" t="s">
        <v>169</v>
      </c>
      <c r="B25" s="34">
        <f>'Situacion Financiera'!B33+'Situacion Financiera'!B34+'Situacion Financiera'!B43+'Situacion Financiera'!B44</f>
        <v>156041</v>
      </c>
      <c r="C25" s="34">
        <f>'Situacion Financiera'!C33+'Situacion Financiera'!C34+'Situacion Financiera'!C43+'Situacion Financiera'!C44</f>
        <v>130697</v>
      </c>
      <c r="D25" s="34">
        <f>'Situacion Financiera'!D33+'Situacion Financiera'!D34+'Situacion Financiera'!D43+'Situacion Financiera'!D44</f>
        <v>128671</v>
      </c>
      <c r="E25" s="34">
        <f>'Situacion Financiera'!E33+'Situacion Financiera'!E34+'Situacion Financiera'!E43+'Situacion Financiera'!E44</f>
        <v>105718</v>
      </c>
      <c r="F25" s="34">
        <f>'Situacion Financiera'!F33+'Situacion Financiera'!F34+'Situacion Financiera'!F43+'Situacion Financiera'!F44</f>
        <v>163958</v>
      </c>
      <c r="G25" s="34">
        <f>'Situacion Financiera'!G33+'Situacion Financiera'!G34+'Situacion Financiera'!G43+'Situacion Financiera'!G44</f>
        <v>132065</v>
      </c>
      <c r="H25" s="34">
        <f>'Situacion Financiera'!H33+'Situacion Financiera'!H34+'Situacion Financiera'!H43+'Situacion Financiera'!H44</f>
        <v>205664</v>
      </c>
    </row>
    <row r="26" spans="1:8" x14ac:dyDescent="0.2">
      <c r="A26" s="37" t="s">
        <v>170</v>
      </c>
      <c r="B26" s="34">
        <f>'Situacion Financiera'!B8+'Situacion Financiera'!B9</f>
        <v>118831</v>
      </c>
      <c r="C26" s="34">
        <f>'Situacion Financiera'!C8+'Situacion Financiera'!C9</f>
        <v>366089</v>
      </c>
      <c r="D26" s="34">
        <f>'Situacion Financiera'!D8+'Situacion Financiera'!D9</f>
        <v>622048</v>
      </c>
      <c r="E26" s="34">
        <f>'Situacion Financiera'!E8+'Situacion Financiera'!E9</f>
        <v>426138</v>
      </c>
      <c r="F26" s="34">
        <f>'Situacion Financiera'!F8+'Situacion Financiera'!F9</f>
        <v>277363</v>
      </c>
      <c r="G26" s="34">
        <f>'Situacion Financiera'!G8+'Situacion Financiera'!G9</f>
        <v>147809</v>
      </c>
      <c r="H26" s="34">
        <f>'Situacion Financiera'!H8+'Situacion Financiera'!H9</f>
        <v>424335</v>
      </c>
    </row>
    <row r="27" spans="1:8" x14ac:dyDescent="0.2">
      <c r="A27" s="37" t="s">
        <v>171</v>
      </c>
      <c r="B27" s="34">
        <f>B25-B26</f>
        <v>37210</v>
      </c>
      <c r="C27" s="34">
        <f t="shared" ref="C27:H27" si="4">C25-C26</f>
        <v>-235392</v>
      </c>
      <c r="D27" s="34">
        <f t="shared" si="4"/>
        <v>-493377</v>
      </c>
      <c r="E27" s="34">
        <f t="shared" si="4"/>
        <v>-320420</v>
      </c>
      <c r="F27" s="34">
        <f t="shared" si="4"/>
        <v>-113405</v>
      </c>
      <c r="G27" s="34">
        <f t="shared" si="4"/>
        <v>-15744</v>
      </c>
      <c r="H27" s="34">
        <f t="shared" si="4"/>
        <v>-218671</v>
      </c>
    </row>
    <row r="28" spans="1:8" x14ac:dyDescent="0.2">
      <c r="A28" s="37" t="s">
        <v>172</v>
      </c>
      <c r="B28" s="35">
        <f>'Situacion Financiera'!B49/'Situacion Financiera'!B25</f>
        <v>0.30463114653886592</v>
      </c>
      <c r="C28" s="35">
        <f>'Situacion Financiera'!C49/'Situacion Financiera'!C25</f>
        <v>0.2996761147348771</v>
      </c>
      <c r="D28" s="35">
        <f>'Situacion Financiera'!D49/'Situacion Financiera'!D25</f>
        <v>0.26750080106242108</v>
      </c>
      <c r="E28" s="35">
        <f>'Situacion Financiera'!E49/'Situacion Financiera'!E25</f>
        <v>0.24080181752668053</v>
      </c>
      <c r="F28" s="35">
        <f>'Situacion Financiera'!F49/'Situacion Financiera'!F25</f>
        <v>0.2929694800633299</v>
      </c>
      <c r="G28" s="35">
        <f>'Situacion Financiera'!G49/'Situacion Financiera'!G25</f>
        <v>0.2592698338164639</v>
      </c>
      <c r="H28" s="35">
        <f>'Situacion Financiera'!H49/'Situacion Financiera'!H25</f>
        <v>0.30790625066638566</v>
      </c>
    </row>
    <row r="29" spans="1:8" x14ac:dyDescent="0.2">
      <c r="A29" s="37" t="s">
        <v>173</v>
      </c>
      <c r="B29" s="33">
        <f>'Situacion Financiera'!B49/'Situacion Financiera'!B56</f>
        <v>0.4380856936898922</v>
      </c>
      <c r="C29" s="33">
        <f>'Situacion Financiera'!C49/'Situacion Financiera'!C56</f>
        <v>0.42791074392875827</v>
      </c>
      <c r="D29" s="33">
        <f>'Situacion Financiera'!D49/'Situacion Financiera'!D56</f>
        <v>0.36518920628228102</v>
      </c>
      <c r="E29" s="33">
        <f>'Situacion Financiera'!E49/'Situacion Financiera'!E56</f>
        <v>0.31717912804031645</v>
      </c>
      <c r="F29" s="33">
        <f>'Situacion Financiera'!F49/'Situacion Financiera'!F56</f>
        <v>0.41436610132412904</v>
      </c>
      <c r="G29" s="33">
        <f>'Situacion Financiera'!G49/'Situacion Financiera'!G56</f>
        <v>0.35001927240563158</v>
      </c>
      <c r="H29" s="33">
        <f>'Situacion Financiera'!H49/'Situacion Financiera'!H56</f>
        <v>0.44489095727689298</v>
      </c>
    </row>
    <row r="30" spans="1:8" x14ac:dyDescent="0.2">
      <c r="A30" s="37" t="s">
        <v>174</v>
      </c>
      <c r="B30" s="35">
        <f>'Situacion Financiera'!B56/'Situacion Financiera'!B25</f>
        <v>0.69536885346113408</v>
      </c>
      <c r="C30" s="35">
        <f>'Situacion Financiera'!C56/'Situacion Financiera'!C25</f>
        <v>0.7003238852651229</v>
      </c>
      <c r="D30" s="35">
        <f>'Situacion Financiera'!D56/'Situacion Financiera'!D25</f>
        <v>0.73249919893757887</v>
      </c>
      <c r="E30" s="35">
        <f>'Situacion Financiera'!E56/'Situacion Financiera'!E25</f>
        <v>0.75919818247331949</v>
      </c>
      <c r="F30" s="35">
        <f>'Situacion Financiera'!F56/'Situacion Financiera'!F25</f>
        <v>0.7070305199366701</v>
      </c>
      <c r="G30" s="35">
        <f>'Situacion Financiera'!G56/'Situacion Financiera'!G25</f>
        <v>0.74073016618353615</v>
      </c>
      <c r="H30" s="35">
        <f>'Situacion Financiera'!H56/'Situacion Financiera'!H25</f>
        <v>0.69209374933361434</v>
      </c>
    </row>
    <row r="31" spans="1:8" x14ac:dyDescent="0.2">
      <c r="A31" s="37" t="s">
        <v>175</v>
      </c>
      <c r="B31" s="35">
        <f>'Situacion Financiera'!B39/'Situacion Financiera'!B49</f>
        <v>0.69061519538987082</v>
      </c>
      <c r="C31" s="35">
        <f>'Situacion Financiera'!C39/'Situacion Financiera'!C49</f>
        <v>0.66129237043967781</v>
      </c>
      <c r="D31" s="35">
        <f>'Situacion Financiera'!D39/'Situacion Financiera'!D49</f>
        <v>0.72182354129684956</v>
      </c>
      <c r="E31" s="35">
        <f>'Situacion Financiera'!E39/'Situacion Financiera'!E49</f>
        <v>0.76996214629517978</v>
      </c>
      <c r="F31" s="35">
        <f>'Situacion Financiera'!F39/'Situacion Financiera'!F49</f>
        <v>0.62691216260806437</v>
      </c>
      <c r="G31" s="35">
        <f>'Situacion Financiera'!G39/'Situacion Financiera'!G49</f>
        <v>0.71375113951968017</v>
      </c>
      <c r="H31" s="35">
        <f>'Situacion Financiera'!H39/'Situacion Financiera'!H49</f>
        <v>0.79461331242075028</v>
      </c>
    </row>
    <row r="32" spans="1:8" x14ac:dyDescent="0.2">
      <c r="A32" s="37" t="s">
        <v>176</v>
      </c>
      <c r="B32" s="33">
        <f>B25/B38</f>
        <v>0.23067018691201949</v>
      </c>
      <c r="C32" s="33">
        <f t="shared" ref="C32:H32" si="5">C25/C38</f>
        <v>0.14877494057972335</v>
      </c>
      <c r="D32" s="33">
        <f t="shared" si="5"/>
        <v>0.12207701028922738</v>
      </c>
      <c r="E32" s="33">
        <f t="shared" si="5"/>
        <v>0.11729527858710438</v>
      </c>
      <c r="F32" s="33">
        <f t="shared" si="5"/>
        <v>0.22281624909627584</v>
      </c>
      <c r="G32" s="33">
        <f t="shared" si="5"/>
        <v>0.13130291786471321</v>
      </c>
      <c r="H32" s="33">
        <f t="shared" si="5"/>
        <v>0.13918325664619946</v>
      </c>
    </row>
    <row r="33" spans="1:8" x14ac:dyDescent="0.2">
      <c r="A33" s="37" t="s">
        <v>177</v>
      </c>
      <c r="B33" s="33">
        <f>B27/B38</f>
        <v>5.5006297415398808E-2</v>
      </c>
      <c r="C33" s="33">
        <f t="shared" ref="C33:H33" si="6">C27/C38</f>
        <v>-0.26795129813953067</v>
      </c>
      <c r="D33" s="33">
        <f t="shared" si="6"/>
        <v>-0.46809295882885915</v>
      </c>
      <c r="E33" s="33">
        <f t="shared" si="6"/>
        <v>-0.35550949852324093</v>
      </c>
      <c r="F33" s="33">
        <f t="shared" si="6"/>
        <v>-0.15411554622990742</v>
      </c>
      <c r="G33" s="33">
        <f t="shared" si="6"/>
        <v>-1.5653149122493052E-2</v>
      </c>
      <c r="H33" s="33">
        <f t="shared" si="6"/>
        <v>-0.14798575304419384</v>
      </c>
    </row>
    <row r="34" spans="1:8" x14ac:dyDescent="0.2">
      <c r="A34" s="37" t="s">
        <v>178</v>
      </c>
      <c r="B34" s="33">
        <f>Resultados!B15/-Resultados!B19</f>
        <v>17.287819789657558</v>
      </c>
      <c r="C34" s="33">
        <f>Resultados!C15/-Resultados!C19</f>
        <v>9.3593025139541393</v>
      </c>
      <c r="D34" s="33">
        <f>Resultados!D15/-Resultados!D19</f>
        <v>101.24083438685209</v>
      </c>
      <c r="E34" s="33">
        <f>Resultados!E15/-Resultados!E19</f>
        <v>15.414807598636143</v>
      </c>
      <c r="F34" s="33">
        <f>Resultados!F15/-Resultados!F19</f>
        <v>20.616010119262739</v>
      </c>
      <c r="G34" s="33">
        <f>Resultados!G15/-Resultados!G19</f>
        <v>14.386832638107219</v>
      </c>
      <c r="H34" s="33">
        <f>Resultados!H15/-Resultados!H19</f>
        <v>36.80902555342017</v>
      </c>
    </row>
    <row r="35" spans="1:8" x14ac:dyDescent="0.2">
      <c r="A35" s="37" t="s">
        <v>179</v>
      </c>
      <c r="B35" s="33">
        <f>B38/-Resultados!B19</f>
        <v>24.617635285126823</v>
      </c>
      <c r="C35" s="33">
        <f>C38/-Resultados!C19</f>
        <v>12.937777057775291</v>
      </c>
      <c r="D35" s="33">
        <f>D38/-Resultados!D19</f>
        <v>133.25094816687738</v>
      </c>
      <c r="E35" s="33">
        <f>E38/-Resultados!E19</f>
        <v>21.950754992693618</v>
      </c>
      <c r="F35" s="33">
        <f>F38/-Resultados!F19</f>
        <v>33.241958800144559</v>
      </c>
      <c r="G35" s="33">
        <f>G38/-Resultados!G19</f>
        <v>22.198768456598028</v>
      </c>
      <c r="H35" s="33">
        <f>H38/-Resultados!H19</f>
        <v>52.589116663107696</v>
      </c>
    </row>
    <row r="36" spans="1:8" x14ac:dyDescent="0.2">
      <c r="A36" s="37"/>
      <c r="B36" s="27"/>
      <c r="C36" s="27"/>
      <c r="D36" s="27"/>
      <c r="E36" s="27"/>
      <c r="F36" s="27"/>
      <c r="G36" s="27"/>
      <c r="H36" s="27"/>
    </row>
    <row r="37" spans="1:8" x14ac:dyDescent="0.2">
      <c r="A37" s="38" t="s">
        <v>180</v>
      </c>
      <c r="B37" s="27"/>
      <c r="C37" s="27"/>
      <c r="D37" s="27"/>
      <c r="E37" s="27"/>
      <c r="F37" s="27"/>
      <c r="G37" s="27"/>
      <c r="H37" s="27"/>
    </row>
    <row r="38" spans="1:8" x14ac:dyDescent="0.2">
      <c r="A38" s="37" t="s">
        <v>181</v>
      </c>
      <c r="B38" s="34">
        <f>Resultados!B15+'Flujos de Efectivo'!B9+'Flujos de Efectivo'!B10</f>
        <v>676468</v>
      </c>
      <c r="C38" s="34">
        <f>Resultados!C15+'Flujos de Efectivo'!C9+'Flujos de Efectivo'!C10</f>
        <v>878488</v>
      </c>
      <c r="D38" s="34">
        <f>Resultados!D15+'Flujos de Efectivo'!D9+'Flujos de Efectivo'!D10</f>
        <v>1054015</v>
      </c>
      <c r="E38" s="34">
        <f>Resultados!E15+'Flujos de Efectivo'!E9+'Flujos de Efectivo'!E10</f>
        <v>901298</v>
      </c>
      <c r="F38" s="34">
        <f>Resultados!F15+'Flujos de Efectivo'!F9+'Flujos de Efectivo'!F10</f>
        <v>735844</v>
      </c>
      <c r="G38" s="34">
        <f>Resultados!G15+'Flujos de Efectivo'!G9+'Flujos de Efectivo'!G10</f>
        <v>1005804</v>
      </c>
      <c r="H38" s="34">
        <f>Resultados!H15+'Flujos de Efectivo'!H9+'Flujos de Efectivo'!H10</f>
        <v>1477649</v>
      </c>
    </row>
    <row r="39" spans="1:8" x14ac:dyDescent="0.2">
      <c r="A39" s="37" t="s">
        <v>67</v>
      </c>
      <c r="B39" s="35">
        <f>Resultados!B8/Resultados!B6</f>
        <v>0.41609024559628727</v>
      </c>
      <c r="C39" s="35">
        <f>Resultados!C8/Resultados!C6</f>
        <v>0.47914428342875831</v>
      </c>
      <c r="D39" s="35">
        <f>Resultados!D8/Resultados!D6</f>
        <v>0.47617093259436349</v>
      </c>
      <c r="E39" s="35">
        <f>Resultados!E8/Resultados!E6</f>
        <v>0.42344056942157182</v>
      </c>
      <c r="F39" s="35">
        <f>Resultados!F8/Resultados!F6</f>
        <v>0.33530695921429682</v>
      </c>
      <c r="G39" s="35">
        <f>Resultados!G8/Resultados!G6</f>
        <v>0.34917000725079167</v>
      </c>
      <c r="H39" s="35">
        <f>Resultados!H8/Resultados!H6</f>
        <v>0.39430210418606526</v>
      </c>
    </row>
    <row r="40" spans="1:8" x14ac:dyDescent="0.2">
      <c r="A40" s="37" t="s">
        <v>68</v>
      </c>
      <c r="B40" s="35">
        <f>Resultados!B15/Resultados!B6</f>
        <v>0.32123959213123532</v>
      </c>
      <c r="C40" s="35">
        <f>Resultados!C15/Resultados!C6</f>
        <v>0.3820843511631668</v>
      </c>
      <c r="D40" s="35">
        <f>Resultados!D15/Resultados!D6</f>
        <v>0.38084229819374371</v>
      </c>
      <c r="E40" s="35">
        <f>Resultados!E15/Resultados!E6</f>
        <v>0.30273934403254821</v>
      </c>
      <c r="F40" s="35">
        <f>Resultados!F15/Resultados!F6</f>
        <v>0.22902424458373691</v>
      </c>
      <c r="G40" s="35">
        <f>Resultados!G15/Resultados!G6</f>
        <v>0.24836838136649417</v>
      </c>
      <c r="H40" s="35">
        <f>Resultados!H15/Resultados!H6</f>
        <v>0.29769174199434989</v>
      </c>
    </row>
    <row r="41" spans="1:8" x14ac:dyDescent="0.2">
      <c r="A41" s="37" t="s">
        <v>182</v>
      </c>
      <c r="B41" s="35">
        <f>B38/Resultados!B6</f>
        <v>0.457441089417227</v>
      </c>
      <c r="C41" s="35">
        <f>C38/Resultados!C6</f>
        <v>0.5281720668013018</v>
      </c>
      <c r="D41" s="35">
        <f>D38/Resultados!D6</f>
        <v>0.5012562138954425</v>
      </c>
      <c r="E41" s="35">
        <f>E38/Resultados!E6</f>
        <v>0.43110218048360271</v>
      </c>
      <c r="F41" s="35">
        <f>F38/Resultados!F6</f>
        <v>0.36928651366800325</v>
      </c>
      <c r="G41" s="35">
        <f>G38/Resultados!G6</f>
        <v>0.38323043915107441</v>
      </c>
      <c r="H41" s="35">
        <f>H38/Resultados!H6</f>
        <v>0.42531269203702077</v>
      </c>
    </row>
    <row r="42" spans="1:8" x14ac:dyDescent="0.2">
      <c r="A42" s="37" t="s">
        <v>69</v>
      </c>
      <c r="B42" s="35">
        <f>Resultados!B25/Resultados!B6</f>
        <v>0.20363684559669301</v>
      </c>
      <c r="C42" s="35">
        <f>Resultados!C25/Resultados!C6</f>
        <v>0.23180907867135706</v>
      </c>
      <c r="D42" s="35">
        <f>Resultados!D25/Resultados!D6</f>
        <v>0.26289040003386049</v>
      </c>
      <c r="E42" s="35">
        <f>Resultados!E25/Resultados!E6</f>
        <v>0.19483824185684773</v>
      </c>
      <c r="F42" s="35">
        <f>Resultados!F25/Resultados!F6</f>
        <v>0.14838026507946864</v>
      </c>
      <c r="G42" s="35">
        <f>Resultados!G25/Resultados!G6</f>
        <v>0.15817165744410167</v>
      </c>
      <c r="H42" s="35">
        <f>Resultados!H25/Resultados!H6</f>
        <v>0.20721130944242883</v>
      </c>
    </row>
    <row r="43" spans="1:8" x14ac:dyDescent="0.2">
      <c r="A43" s="37" t="s">
        <v>183</v>
      </c>
      <c r="B43" s="35">
        <f>-Resultados!B24/Resultados!B22</f>
        <v>0.32989759542851038</v>
      </c>
      <c r="C43" s="35">
        <f>-Resultados!C24/Resultados!C22</f>
        <v>0.32263238709632081</v>
      </c>
      <c r="D43" s="35">
        <f>-Resultados!D24/Resultados!D22</f>
        <v>0.30898149548668885</v>
      </c>
      <c r="E43" s="35">
        <f>-Resultados!E24/Resultados!E22</f>
        <v>0.33246534463630512</v>
      </c>
      <c r="F43" s="35">
        <f>-Resultados!F24/Resultados!F22</f>
        <v>0.3344258752341161</v>
      </c>
      <c r="G43" s="35">
        <f>-Resultados!G24/Resultados!G22</f>
        <v>0.3231439481639215</v>
      </c>
      <c r="H43" s="35">
        <f>-Resultados!H24/Resultados!H22</f>
        <v>0.2896248142424942</v>
      </c>
    </row>
    <row r="44" spans="1:8" x14ac:dyDescent="0.2">
      <c r="A44" s="37" t="s">
        <v>184</v>
      </c>
      <c r="B44" s="35">
        <f>Resultados!B25/'Situacion Financiera'!B25</f>
        <v>0.21656989078732944</v>
      </c>
      <c r="C44" s="35">
        <f>Resultados!C25/'Situacion Financiera'!C25</f>
        <v>0.22569470257638932</v>
      </c>
      <c r="D44" s="35">
        <f>Resultados!D25/'Situacion Financiera'!D25</f>
        <v>0.26675957703904168</v>
      </c>
      <c r="E44" s="35">
        <f>Resultados!E25/'Situacion Financiera'!E25</f>
        <v>0.19389283618222294</v>
      </c>
      <c r="F44" s="35">
        <f>Resultados!F25/'Situacion Financiera'!F25</f>
        <v>0.12703099254778205</v>
      </c>
      <c r="G44" s="35">
        <f>Resultados!G25/'Situacion Financiera'!G25</f>
        <v>0.16325683078160966</v>
      </c>
      <c r="H44" s="35">
        <f>Resultados!H25/'Situacion Financiera'!H25</f>
        <v>0.22575798627966748</v>
      </c>
    </row>
    <row r="45" spans="1:8" x14ac:dyDescent="0.2">
      <c r="A45" s="37" t="s">
        <v>185</v>
      </c>
      <c r="B45" s="35">
        <f>Resultados!B25/'Situacion Financiera'!B56</f>
        <v>0.31144606162524086</v>
      </c>
      <c r="C45" s="35">
        <f>Resultados!C25/'Situacion Financiera'!C56</f>
        <v>0.32227189065663192</v>
      </c>
      <c r="D45" s="35">
        <f>Resultados!D25/'Situacion Financiera'!D56</f>
        <v>0.3641772952461263</v>
      </c>
      <c r="E45" s="35">
        <f>Resultados!E25/'Situacion Financiera'!E56</f>
        <v>0.25539159689576435</v>
      </c>
      <c r="F45" s="35">
        <f>Resultados!F25/'Situacion Financiera'!F56</f>
        <v>0.179668329677141</v>
      </c>
      <c r="G45" s="35">
        <f>Resultados!G25/'Situacion Financiera'!G56</f>
        <v>0.22039986790703797</v>
      </c>
      <c r="H45" s="35">
        <f>Resultados!H25/'Situacion Financiera'!H56</f>
        <v>0.32619567290853241</v>
      </c>
    </row>
    <row r="46" spans="1:8" x14ac:dyDescent="0.2">
      <c r="A46" s="37" t="s">
        <v>186</v>
      </c>
      <c r="B46" s="35">
        <f>Resultados!B15*(1-B43)/(B25+'Situacion Financiera'!B56)</f>
        <v>0.28347966293823884</v>
      </c>
      <c r="C46" s="35">
        <f>Resultados!C15*(1-C43)/(C25+'Situacion Financiera'!C56)</f>
        <v>0.32437592615787769</v>
      </c>
      <c r="D46" s="35">
        <f>Resultados!D15*(1-D43)/(D25+'Situacion Financiera'!D56)</f>
        <v>0.33607494738634386</v>
      </c>
      <c r="E46" s="35">
        <f>Resultados!E15*(1-E43)/(E25+'Situacion Financiera'!E56)</f>
        <v>0.24842949637717068</v>
      </c>
      <c r="F46" s="35">
        <f>Resultados!F15*(1-F43)/(F25+'Situacion Financiera'!F56)</f>
        <v>0.16785152328161185</v>
      </c>
      <c r="G46" s="35">
        <f>Resultados!G15*(1-G43)/(G25+'Situacion Financiera'!G56)</f>
        <v>0.21889933203454043</v>
      </c>
      <c r="H46" s="35">
        <f>Resultados!H15*(1-H43)/(H25+'Situacion Financiera'!H56)</f>
        <v>0.30452604866180283</v>
      </c>
    </row>
    <row r="47" spans="1:8" x14ac:dyDescent="0.2">
      <c r="A47" s="37"/>
      <c r="B47" s="27"/>
      <c r="C47" s="27"/>
      <c r="D47" s="27"/>
      <c r="E47" s="27"/>
      <c r="F47" s="27"/>
      <c r="G47" s="27"/>
      <c r="H47" s="27"/>
    </row>
    <row r="48" spans="1:8" x14ac:dyDescent="0.2">
      <c r="A48" s="38" t="s">
        <v>187</v>
      </c>
      <c r="B48" s="27"/>
      <c r="C48" s="27"/>
      <c r="D48" s="27"/>
      <c r="E48" s="27"/>
      <c r="F48" s="27"/>
      <c r="G48" s="27"/>
      <c r="H48" s="27"/>
    </row>
    <row r="49" spans="1:8" x14ac:dyDescent="0.2">
      <c r="A49" s="37" t="s">
        <v>69</v>
      </c>
      <c r="B49" s="35">
        <f>B42</f>
        <v>0.20363684559669301</v>
      </c>
      <c r="C49" s="35">
        <f t="shared" ref="C49:H49" si="7">C42</f>
        <v>0.23180907867135706</v>
      </c>
      <c r="D49" s="35">
        <f t="shared" si="7"/>
        <v>0.26289040003386049</v>
      </c>
      <c r="E49" s="35">
        <f t="shared" si="7"/>
        <v>0.19483824185684773</v>
      </c>
      <c r="F49" s="35">
        <f t="shared" si="7"/>
        <v>0.14838026507946864</v>
      </c>
      <c r="G49" s="35">
        <f t="shared" si="7"/>
        <v>0.15817165744410167</v>
      </c>
      <c r="H49" s="35">
        <f t="shared" si="7"/>
        <v>0.20721130944242883</v>
      </c>
    </row>
    <row r="50" spans="1:8" x14ac:dyDescent="0.2">
      <c r="A50" s="37" t="s">
        <v>188</v>
      </c>
      <c r="B50" s="33">
        <f>B21</f>
        <v>1.0635103394611138</v>
      </c>
      <c r="C50" s="33">
        <f t="shared" ref="C50:H50" si="8">C21</f>
        <v>0.97362322420669178</v>
      </c>
      <c r="D50" s="33">
        <f t="shared" si="8"/>
        <v>1.0147178330006834</v>
      </c>
      <c r="E50" s="33">
        <f t="shared" si="8"/>
        <v>0.99514774068162959</v>
      </c>
      <c r="F50" s="33">
        <f t="shared" si="8"/>
        <v>0.8561178434325315</v>
      </c>
      <c r="G50" s="33">
        <f t="shared" si="8"/>
        <v>1.0321497126582562</v>
      </c>
      <c r="H50" s="33">
        <f t="shared" si="8"/>
        <v>1.089506103152114</v>
      </c>
    </row>
    <row r="51" spans="1:8" x14ac:dyDescent="0.2">
      <c r="A51" s="37" t="s">
        <v>189</v>
      </c>
      <c r="B51" s="33">
        <f>'Situacion Financiera'!B25/'Situacion Financiera'!B56</f>
        <v>1.4380856936898923</v>
      </c>
      <c r="C51" s="33">
        <f>'Situacion Financiera'!C25/'Situacion Financiera'!C56</f>
        <v>1.4279107439287584</v>
      </c>
      <c r="D51" s="33">
        <f>'Situacion Financiera'!D25/'Situacion Financiera'!D56</f>
        <v>1.365189206282281</v>
      </c>
      <c r="E51" s="33">
        <f>'Situacion Financiera'!E25/'Situacion Financiera'!E56</f>
        <v>1.3171791280403164</v>
      </c>
      <c r="F51" s="33">
        <f>'Situacion Financiera'!F25/'Situacion Financiera'!F56</f>
        <v>1.4143661013241291</v>
      </c>
      <c r="G51" s="33">
        <f>'Situacion Financiera'!G25/'Situacion Financiera'!G56</f>
        <v>1.3500192724056317</v>
      </c>
      <c r="H51" s="33">
        <f>'Situacion Financiera'!H25/'Situacion Financiera'!H56</f>
        <v>1.4448909572768929</v>
      </c>
    </row>
    <row r="52" spans="1:8" x14ac:dyDescent="0.2">
      <c r="A52" s="37" t="s">
        <v>190</v>
      </c>
      <c r="B52" s="35">
        <f>B49*B50*B51</f>
        <v>0.3114460616252408</v>
      </c>
      <c r="C52" s="35">
        <f t="shared" ref="C52:H52" si="9">C49*C50*C51</f>
        <v>0.32227189065663192</v>
      </c>
      <c r="D52" s="35">
        <f t="shared" si="9"/>
        <v>0.3641772952461263</v>
      </c>
      <c r="E52" s="35">
        <f t="shared" si="9"/>
        <v>0.25539159689576429</v>
      </c>
      <c r="F52" s="35">
        <f t="shared" si="9"/>
        <v>0.179668329677141</v>
      </c>
      <c r="G52" s="35">
        <f t="shared" si="9"/>
        <v>0.220399867907038</v>
      </c>
      <c r="H52" s="35">
        <f t="shared" si="9"/>
        <v>0.32619567290853241</v>
      </c>
    </row>
    <row r="53" spans="1:8" x14ac:dyDescent="0.2">
      <c r="A53" s="37"/>
      <c r="B53" s="27"/>
      <c r="C53" s="27"/>
      <c r="D53" s="27"/>
      <c r="E53" s="27"/>
      <c r="F53" s="27"/>
      <c r="G53" s="27"/>
      <c r="H53" s="27"/>
    </row>
    <row r="54" spans="1:8" x14ac:dyDescent="0.2">
      <c r="A54" s="38" t="s">
        <v>191</v>
      </c>
      <c r="B54" s="27"/>
      <c r="C54" s="27"/>
      <c r="D54" s="27"/>
      <c r="E54" s="27"/>
      <c r="F54" s="27"/>
      <c r="G54" s="27"/>
      <c r="H54" s="27"/>
    </row>
    <row r="55" spans="1:8" x14ac:dyDescent="0.2">
      <c r="A55" s="37" t="s">
        <v>192</v>
      </c>
      <c r="B55" s="34">
        <f>'Flujos de Efectivo'!B33</f>
        <v>535510</v>
      </c>
      <c r="C55" s="34">
        <f>'Flujos de Efectivo'!C33</f>
        <v>718316</v>
      </c>
      <c r="D55" s="34">
        <f>'Flujos de Efectivo'!D33</f>
        <v>862110</v>
      </c>
      <c r="E55" s="34">
        <f>'Flujos de Efectivo'!E33</f>
        <v>675556</v>
      </c>
      <c r="F55" s="34">
        <f>'Flujos de Efectivo'!F33</f>
        <v>618926</v>
      </c>
      <c r="G55" s="34">
        <f>'Flujos de Efectivo'!G33</f>
        <v>818316</v>
      </c>
      <c r="H55" s="34">
        <f>'Flujos de Efectivo'!H33</f>
        <v>1319160</v>
      </c>
    </row>
    <row r="56" spans="1:8" x14ac:dyDescent="0.2">
      <c r="A56" s="37" t="s">
        <v>193</v>
      </c>
      <c r="B56" s="34">
        <f>-('Flujos de Efectivo'!B41+'Flujos de Efectivo'!B42)</f>
        <v>360642</v>
      </c>
      <c r="C56" s="34">
        <f>-('Flujos de Efectivo'!C41+'Flujos de Efectivo'!C42)</f>
        <v>269285</v>
      </c>
      <c r="D56" s="34">
        <f>-('Flujos de Efectivo'!D41+'Flujos de Efectivo'!D42)</f>
        <v>349213</v>
      </c>
      <c r="E56" s="34">
        <f>-('Flujos de Efectivo'!E41+'Flujos de Efectivo'!E42)</f>
        <v>492271</v>
      </c>
      <c r="F56" s="34">
        <f>-('Flujos de Efectivo'!F41+'Flujos de Efectivo'!F42)</f>
        <v>580275</v>
      </c>
      <c r="G56" s="34">
        <f>-('Flujos de Efectivo'!G41+'Flujos de Efectivo'!G42)</f>
        <v>734206</v>
      </c>
      <c r="H56" s="34">
        <f>-('Flujos de Efectivo'!H41+'Flujos de Efectivo'!H42)</f>
        <v>741123</v>
      </c>
    </row>
    <row r="57" spans="1:8" x14ac:dyDescent="0.2">
      <c r="A57" s="37" t="s">
        <v>194</v>
      </c>
      <c r="B57" s="34">
        <f>B55-B56</f>
        <v>174868</v>
      </c>
      <c r="C57" s="34">
        <f t="shared" ref="C57:H57" si="10">C55-C56</f>
        <v>449031</v>
      </c>
      <c r="D57" s="34">
        <f t="shared" si="10"/>
        <v>512897</v>
      </c>
      <c r="E57" s="34">
        <f t="shared" si="10"/>
        <v>183285</v>
      </c>
      <c r="F57" s="34">
        <f t="shared" si="10"/>
        <v>38651</v>
      </c>
      <c r="G57" s="34">
        <f t="shared" si="10"/>
        <v>84110</v>
      </c>
      <c r="H57" s="34">
        <f t="shared" si="10"/>
        <v>578037</v>
      </c>
    </row>
    <row r="58" spans="1:8" x14ac:dyDescent="0.2">
      <c r="A58" s="37" t="s">
        <v>195</v>
      </c>
      <c r="B58" s="35">
        <f>B55/Resultados!B6</f>
        <v>0.36212249181604927</v>
      </c>
      <c r="C58" s="35">
        <f>C55/Resultados!C6</f>
        <v>0.43187208742344108</v>
      </c>
      <c r="D58" s="35">
        <f>D55/Resultados!D6</f>
        <v>0.40999226250233622</v>
      </c>
      <c r="E58" s="35">
        <f>E55/Resultados!E6</f>
        <v>0.32312693985649665</v>
      </c>
      <c r="F58" s="35">
        <f>F55/Resultados!F6</f>
        <v>0.31061070656074197</v>
      </c>
      <c r="G58" s="35">
        <f>G55/Resultados!G6</f>
        <v>0.31179394797033083</v>
      </c>
      <c r="H58" s="35">
        <f>H55/Resultados!H6</f>
        <v>0.37969469801526368</v>
      </c>
    </row>
    <row r="59" spans="1:8" x14ac:dyDescent="0.2">
      <c r="A59" s="37" t="s">
        <v>196</v>
      </c>
      <c r="B59" s="33">
        <f>B55/'Situacion Financiera'!B39</f>
        <v>1.8305718592861757</v>
      </c>
      <c r="C59" s="33">
        <f>C55/'Situacion Financiera'!C39</f>
        <v>2.1217803298832649</v>
      </c>
      <c r="D59" s="33">
        <f>D55/'Situacion Financiera'!D39</f>
        <v>2.1545909173837305</v>
      </c>
      <c r="E59" s="33">
        <f>E55/'Situacion Financiera'!E39</f>
        <v>1.7343294310946806</v>
      </c>
      <c r="F59" s="33">
        <f>F55/'Situacion Financiera'!F39</f>
        <v>1.4478410786886933</v>
      </c>
      <c r="G59" s="33">
        <f>G55/'Situacion Financiera'!G39</f>
        <v>1.7390480157431454</v>
      </c>
      <c r="H59" s="33">
        <f>H55/'Situacion Financiera'!H39</f>
        <v>1.6907907301048573</v>
      </c>
    </row>
    <row r="60" spans="1:8" x14ac:dyDescent="0.2">
      <c r="A60" s="37" t="s">
        <v>197</v>
      </c>
      <c r="B60" s="33">
        <f>B55/B25</f>
        <v>3.4318544485103275</v>
      </c>
      <c r="C60" s="33">
        <f t="shared" ref="C60:H60" si="11">C55/C25</f>
        <v>5.4960404599952559</v>
      </c>
      <c r="D60" s="33">
        <f t="shared" si="11"/>
        <v>6.7001111361534456</v>
      </c>
      <c r="E60" s="33">
        <f t="shared" si="11"/>
        <v>6.3901700751054689</v>
      </c>
      <c r="F60" s="33">
        <f t="shared" si="11"/>
        <v>3.7749057685504823</v>
      </c>
      <c r="G60" s="33">
        <f t="shared" si="11"/>
        <v>6.1963124219134516</v>
      </c>
      <c r="H60" s="33">
        <f t="shared" si="11"/>
        <v>6.4141512369690368</v>
      </c>
    </row>
    <row r="61" spans="1:8" x14ac:dyDescent="0.2">
      <c r="A61" s="37" t="s">
        <v>198</v>
      </c>
      <c r="B61" s="33">
        <f>B56/('Flujos de Efectivo'!B9+'Flujos de Efectivo'!B10)</f>
        <v>1.7905330261746832</v>
      </c>
      <c r="C61" s="33">
        <f>C56/('Flujos de Efectivo'!C9+'Flujos de Efectivo'!C10)</f>
        <v>1.1082508169329415</v>
      </c>
      <c r="D61" s="33">
        <f>D56/('Flujos de Efectivo'!D9+'Flujos de Efectivo'!D10)</f>
        <v>1.3791982622432859</v>
      </c>
      <c r="E61" s="33">
        <f>E56/('Flujos de Efectivo'!E9+'Flujos de Efectivo'!E10)</f>
        <v>1.8343270011849488</v>
      </c>
      <c r="F61" s="33">
        <f>F56/('Flujos de Efectivo'!F9+'Flujos de Efectivo'!F10)</f>
        <v>2.076207207465079</v>
      </c>
      <c r="G61" s="33">
        <f>G56/('Flujos de Efectivo'!G9+'Flujos de Efectivo'!G10)</f>
        <v>2.0743153713367106</v>
      </c>
      <c r="H61" s="33">
        <f>H56/('Flujos de Efectivo'!H9+'Flujos de Efectivo'!H10)</f>
        <v>1.6714961354476543</v>
      </c>
    </row>
    <row r="62" spans="1:8" x14ac:dyDescent="0.2">
      <c r="A62" s="37" t="s">
        <v>199</v>
      </c>
      <c r="B62" s="34">
        <f>-'Flujos de Efectivo'!B51</f>
        <v>116640</v>
      </c>
      <c r="C62" s="34">
        <f>-'Flujos de Efectivo'!C51</f>
        <v>156082</v>
      </c>
      <c r="D62" s="34">
        <f>-'Flujos de Efectivo'!D51</f>
        <v>231274</v>
      </c>
      <c r="E62" s="34">
        <f>-'Flujos de Efectivo'!E51</f>
        <v>330678</v>
      </c>
      <c r="F62" s="34">
        <f>-'Flujos de Efectivo'!F51</f>
        <v>245036</v>
      </c>
      <c r="G62" s="34">
        <f>-'Flujos de Efectivo'!G51</f>
        <v>177216</v>
      </c>
      <c r="H62" s="34">
        <f>-'Flujos de Efectivo'!H51</f>
        <v>396450</v>
      </c>
    </row>
    <row r="63" spans="1:8" x14ac:dyDescent="0.2">
      <c r="A63" s="37" t="s">
        <v>200</v>
      </c>
      <c r="B63" s="35">
        <f>B62/Resultados!B25</f>
        <v>0.38732815301852958</v>
      </c>
      <c r="C63" s="35">
        <f>C62/Resultados!C25</f>
        <v>0.40482001457623867</v>
      </c>
      <c r="D63" s="35">
        <f>D62/Resultados!D25</f>
        <v>0.4183743614234649</v>
      </c>
      <c r="E63" s="35">
        <f>E62/Resultados!E25</f>
        <v>0.81178853306165533</v>
      </c>
      <c r="F63" s="35">
        <f>F62/Resultados!F25</f>
        <v>0.82876508469073007</v>
      </c>
      <c r="G63" s="35">
        <f>G62/Resultados!G25</f>
        <v>0.42689483725501531</v>
      </c>
      <c r="H63" s="35">
        <f>H62/Resultados!H25</f>
        <v>0.55069613158366293</v>
      </c>
    </row>
    <row r="64" spans="1:8" x14ac:dyDescent="0.2">
      <c r="A64" s="37"/>
      <c r="B64" s="27"/>
      <c r="C64" s="27"/>
      <c r="D64" s="27"/>
      <c r="E64" s="27"/>
      <c r="F64" s="27"/>
      <c r="G64" s="27"/>
      <c r="H64" s="27"/>
    </row>
    <row r="65" spans="1:8" x14ac:dyDescent="0.2">
      <c r="A65" s="38" t="s">
        <v>201</v>
      </c>
      <c r="B65" s="27"/>
      <c r="C65" s="27"/>
      <c r="D65" s="27"/>
      <c r="E65" s="27"/>
      <c r="F65" s="27"/>
      <c r="G65" s="27"/>
      <c r="H65" s="27"/>
    </row>
    <row r="66" spans="1:8" x14ac:dyDescent="0.2">
      <c r="A66" s="37" t="s">
        <v>202</v>
      </c>
      <c r="B66" s="27"/>
      <c r="C66" s="35">
        <f>Resultados!C6/Resultados!B6-1</f>
        <v>0.12473010375241156</v>
      </c>
      <c r="D66" s="35">
        <f>Resultados!D6/Resultados!C6-1</f>
        <v>0.26423153070985261</v>
      </c>
      <c r="E66" s="35">
        <f>Resultados!E6/Resultados!D6-1</f>
        <v>-5.7372570261662315E-3</v>
      </c>
      <c r="F66" s="35">
        <f>Resultados!F6/Resultados!E6-1</f>
        <v>-4.6909550610972572E-2</v>
      </c>
      <c r="G66" s="35">
        <f>Resultados!G6/Resultados!F6-1</f>
        <v>0.31713732240629122</v>
      </c>
      <c r="H66" s="35">
        <f>Resultados!H6/Resultados!G6-1</f>
        <v>0.3237609928745635</v>
      </c>
    </row>
    <row r="67" spans="1:8" x14ac:dyDescent="0.2">
      <c r="A67" s="37" t="s">
        <v>203</v>
      </c>
      <c r="B67" s="27"/>
      <c r="C67" s="35">
        <f>C38/B38-1</f>
        <v>0.2986394034898916</v>
      </c>
      <c r="D67" s="35">
        <f t="shared" ref="D67:H67" si="12">D38/C38-1</f>
        <v>0.19980580269736192</v>
      </c>
      <c r="E67" s="35">
        <f t="shared" si="12"/>
        <v>-0.14489072736156505</v>
      </c>
      <c r="F67" s="35">
        <f t="shared" si="12"/>
        <v>-0.18357302468218062</v>
      </c>
      <c r="G67" s="35">
        <f t="shared" si="12"/>
        <v>0.36687123901261676</v>
      </c>
      <c r="H67" s="35">
        <f t="shared" si="12"/>
        <v>0.46912221466607806</v>
      </c>
    </row>
    <row r="68" spans="1:8" x14ac:dyDescent="0.2">
      <c r="A68" s="37" t="s">
        <v>204</v>
      </c>
      <c r="B68" s="27"/>
      <c r="C68" s="35">
        <f>Resultados!C25/Resultados!B25-1</f>
        <v>0.28033140731885497</v>
      </c>
      <c r="D68" s="35">
        <f>Resultados!D25/Resultados!C25-1</f>
        <v>0.43374165821573363</v>
      </c>
      <c r="E68" s="35">
        <f>Resultados!E25/Resultados!D25-1</f>
        <v>-0.26311343145342192</v>
      </c>
      <c r="F68" s="35">
        <f>Resultados!F25/Resultados!E25-1</f>
        <v>-0.274168088475371</v>
      </c>
      <c r="G68" s="35">
        <f>Resultados!G25/Resultados!F25-1</f>
        <v>0.40405324963472045</v>
      </c>
      <c r="H68" s="35">
        <f>Resultados!H25/Resultados!G25-1</f>
        <v>0.73418078279470422</v>
      </c>
    </row>
    <row r="69" spans="1:8" x14ac:dyDescent="0.2">
      <c r="A69" s="37" t="s">
        <v>205</v>
      </c>
      <c r="B69" s="27"/>
      <c r="C69" s="35">
        <f>'Situacion Financiera'!C25/'Situacion Financiera'!B25-1</f>
        <v>0.22856775054692635</v>
      </c>
      <c r="D69" s="35">
        <f>'Situacion Financiera'!D25/'Situacion Financiera'!C25-1</f>
        <v>0.21303197701134624</v>
      </c>
      <c r="E69" s="35">
        <f>'Situacion Financiera'!E25/'Situacion Financiera'!D25-1</f>
        <v>1.3815431357636632E-2</v>
      </c>
      <c r="F69" s="35">
        <f>'Situacion Financiera'!F25/'Situacion Financiera'!E25-1</f>
        <v>0.10786828548268179</v>
      </c>
      <c r="G69" s="35">
        <f>'Situacion Financiera'!G25/'Situacion Financiera'!F25-1</f>
        <v>9.2501165416037479E-2</v>
      </c>
      <c r="H69" s="35">
        <f>'Situacion Financiera'!H25/'Situacion Financiera'!G25-1</f>
        <v>0.25407239525387659</v>
      </c>
    </row>
    <row r="70" spans="1:8" x14ac:dyDescent="0.2">
      <c r="A70" s="37" t="s">
        <v>206</v>
      </c>
      <c r="B70" s="27"/>
      <c r="C70" s="35">
        <f>'Situacion Financiera'!C56/'Situacion Financiera'!B56-1</f>
        <v>0.23732222990995022</v>
      </c>
      <c r="D70" s="35">
        <f>'Situacion Financiera'!D56/'Situacion Financiera'!C56-1</f>
        <v>0.26876288263408377</v>
      </c>
      <c r="E70" s="35">
        <f>'Situacion Financiera'!E56/'Situacion Financiera'!D56-1</f>
        <v>5.076815642458099E-2</v>
      </c>
      <c r="F70" s="35">
        <f>'Situacion Financiera'!F56/'Situacion Financiera'!E56-1</f>
        <v>3.1742051007472183E-2</v>
      </c>
      <c r="G70" s="35">
        <f>'Situacion Financiera'!G56/'Situacion Financiera'!F56-1</f>
        <v>0.14457374469041873</v>
      </c>
      <c r="H70" s="35">
        <f>'Situacion Financiera'!H56/'Situacion Financiera'!G56-1</f>
        <v>0.17172987626372294</v>
      </c>
    </row>
    <row r="72" spans="1:8" x14ac:dyDescent="0.2">
      <c r="A72" s="40" t="s">
        <v>207</v>
      </c>
    </row>
    <row r="73" spans="1:8" x14ac:dyDescent="0.2">
      <c r="A73" s="39" t="s">
        <v>208</v>
      </c>
    </row>
    <row r="74" spans="1:8" x14ac:dyDescent="0.2">
      <c r="A74" s="25" t="s">
        <v>209</v>
      </c>
    </row>
    <row r="75" spans="1:8" x14ac:dyDescent="0.2">
      <c r="A75" s="25" t="s">
        <v>210</v>
      </c>
    </row>
    <row r="76" spans="1:8" x14ac:dyDescent="0.2">
      <c r="A76" s="25" t="s">
        <v>211</v>
      </c>
    </row>
    <row r="77" spans="1:8" x14ac:dyDescent="0.2">
      <c r="A77" s="25" t="s">
        <v>212</v>
      </c>
    </row>
  </sheetData>
  <pageMargins left="0.7" right="0.7" top="0.75" bottom="0.75" header="0.3" footer="0.3"/>
  <ignoredErrors>
    <ignoredError sqref="B16:H18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5ACB9-2608-E649-A1AD-0FC28B895531}">
  <dimension ref="A1:H19"/>
  <sheetViews>
    <sheetView showGridLines="0" tabSelected="1" workbookViewId="0">
      <selection activeCell="D43" sqref="D43"/>
    </sheetView>
  </sheetViews>
  <sheetFormatPr baseColWidth="10" defaultRowHeight="15" x14ac:dyDescent="0.2"/>
  <cols>
    <col min="1" max="1" width="43.33203125" customWidth="1"/>
    <col min="2" max="8" width="11.6640625" customWidth="1"/>
  </cols>
  <sheetData>
    <row r="1" spans="1:8" ht="19" x14ac:dyDescent="0.25">
      <c r="A1" s="26" t="s">
        <v>213</v>
      </c>
      <c r="B1" s="27"/>
      <c r="C1" s="27"/>
      <c r="D1" s="27"/>
      <c r="E1" s="27"/>
      <c r="F1" s="27"/>
      <c r="G1" s="27"/>
      <c r="H1" s="27"/>
    </row>
    <row r="2" spans="1:8" x14ac:dyDescent="0.2">
      <c r="A2" s="29" t="s">
        <v>214</v>
      </c>
      <c r="B2" s="27"/>
      <c r="C2" s="27"/>
      <c r="D2" s="27"/>
      <c r="E2" s="27"/>
      <c r="F2" s="27"/>
      <c r="G2" s="27"/>
      <c r="H2" s="27"/>
    </row>
    <row r="3" spans="1:8" x14ac:dyDescent="0.2">
      <c r="A3" s="27"/>
      <c r="B3" s="27"/>
      <c r="C3" s="27"/>
      <c r="D3" s="27"/>
      <c r="E3" s="27"/>
      <c r="F3" s="27"/>
      <c r="G3" s="27"/>
      <c r="H3" s="27"/>
    </row>
    <row r="4" spans="1:8" x14ac:dyDescent="0.2">
      <c r="A4" s="32" t="s">
        <v>215</v>
      </c>
      <c r="B4" s="27"/>
      <c r="C4" s="27"/>
      <c r="D4" s="27"/>
      <c r="E4" s="27"/>
      <c r="F4" s="27"/>
      <c r="G4" s="27"/>
      <c r="H4" s="27"/>
    </row>
    <row r="5" spans="1:8" x14ac:dyDescent="0.2">
      <c r="A5" s="30" t="s">
        <v>151</v>
      </c>
      <c r="B5" s="31">
        <v>2019</v>
      </c>
      <c r="C5" s="31">
        <v>2020</v>
      </c>
      <c r="D5" s="31">
        <v>2021</v>
      </c>
      <c r="E5" s="31">
        <v>2022</v>
      </c>
      <c r="F5" s="31">
        <v>2023</v>
      </c>
      <c r="G5" s="31">
        <v>2024</v>
      </c>
      <c r="H5" s="31">
        <v>2025</v>
      </c>
    </row>
    <row r="6" spans="1:8" x14ac:dyDescent="0.2">
      <c r="A6" s="27" t="s">
        <v>216</v>
      </c>
      <c r="B6" s="36">
        <f>365*'Situacion Financiera'!B12/-Resultados!B7</f>
        <v>18.74813402803272</v>
      </c>
      <c r="C6" s="36">
        <f>365*'Situacion Financiera'!C12/-Resultados!C7</f>
        <v>21.101534192370249</v>
      </c>
      <c r="D6" s="36">
        <f>365*'Situacion Financiera'!D12/-Resultados!D7</f>
        <v>19.834622507898462</v>
      </c>
      <c r="E6" s="36">
        <f>365*'Situacion Financiera'!E12/-Resultados!E7</f>
        <v>21.360955630606526</v>
      </c>
      <c r="F6" s="36">
        <f>365*'Situacion Financiera'!F12/-Resultados!F7</f>
        <v>18.813921602085053</v>
      </c>
      <c r="G6" s="36">
        <f>365*'Situacion Financiera'!G12/-Resultados!G7</f>
        <v>20.859615485940765</v>
      </c>
      <c r="H6" s="36">
        <f>365*'Situacion Financiera'!H12/-Resultados!H7</f>
        <v>17.840875232553444</v>
      </c>
    </row>
    <row r="7" spans="1:8" x14ac:dyDescent="0.2">
      <c r="A7" s="27" t="s">
        <v>217</v>
      </c>
      <c r="B7" s="36">
        <f>365*'Situacion Financiera'!B10/Resultados!B6</f>
        <v>2.3749043994187216</v>
      </c>
      <c r="C7" s="36">
        <f>365*'Situacion Financiera'!C10/Resultados!C6</f>
        <v>2.8060869580901615</v>
      </c>
      <c r="D7" s="36">
        <f>365*'Situacion Financiera'!D10/Resultados!D6</f>
        <v>1.76759020462281</v>
      </c>
      <c r="E7" s="36">
        <f>365*'Situacion Financiera'!E10/Resultados!E6</f>
        <v>2.2049971229497727</v>
      </c>
      <c r="F7" s="36">
        <f>365*'Situacion Financiera'!F10/Resultados!F6</f>
        <v>2.6795107923778363</v>
      </c>
      <c r="G7" s="36">
        <f>365*'Situacion Financiera'!G10/Resultados!G6</f>
        <v>2.6831148760869041</v>
      </c>
      <c r="H7" s="36">
        <f>365*'Situacion Financiera'!H10/Resultados!H6</f>
        <v>3.6014998855873115</v>
      </c>
    </row>
    <row r="8" spans="1:8" x14ac:dyDescent="0.2">
      <c r="A8" s="27" t="s">
        <v>218</v>
      </c>
      <c r="B8" s="36">
        <f>365*'Situacion Financiera'!B30/-Resultados!B7</f>
        <v>30.003862229021497</v>
      </c>
      <c r="C8" s="36">
        <f>365*'Situacion Financiera'!C30/-Resultados!C7</f>
        <v>36.069028845032832</v>
      </c>
      <c r="D8" s="36">
        <f>365*'Situacion Financiera'!D30/-Resultados!D7</f>
        <v>28.511938482768638</v>
      </c>
      <c r="E8" s="36">
        <f>365*'Situacion Financiera'!E30/-Resultados!E7</f>
        <v>31.308043865827447</v>
      </c>
      <c r="F8" s="36">
        <f>365*'Situacion Financiera'!F30/-Resultados!F7</f>
        <v>57.991081742638961</v>
      </c>
      <c r="G8" s="36">
        <f>365*'Situacion Financiera'!G30/-Resultados!G7</f>
        <v>47.429507707258814</v>
      </c>
      <c r="H8" s="36">
        <f>365*'Situacion Financiera'!H30/-Resultados!H7</f>
        <v>52.674629518308457</v>
      </c>
    </row>
    <row r="9" spans="1:8" x14ac:dyDescent="0.2">
      <c r="A9" s="28" t="s">
        <v>219</v>
      </c>
      <c r="B9" s="41">
        <f>B6+B7-B8</f>
        <v>-8.880823801570056</v>
      </c>
      <c r="C9" s="36">
        <f t="shared" ref="C9:H9" si="0">C6+C7-C8</f>
        <v>-12.161407694572421</v>
      </c>
      <c r="D9" s="36">
        <f t="shared" si="0"/>
        <v>-6.9097257702473662</v>
      </c>
      <c r="E9" s="36">
        <f t="shared" si="0"/>
        <v>-7.7420911122711473</v>
      </c>
      <c r="F9" s="36">
        <f t="shared" si="0"/>
        <v>-36.497649348176068</v>
      </c>
      <c r="G9" s="36">
        <f t="shared" si="0"/>
        <v>-23.886777345231145</v>
      </c>
      <c r="H9" s="36">
        <f t="shared" si="0"/>
        <v>-31.232254400167701</v>
      </c>
    </row>
    <row r="10" spans="1:8" x14ac:dyDescent="0.2">
      <c r="A10" s="27"/>
      <c r="B10" s="27"/>
      <c r="C10" s="27"/>
      <c r="D10" s="27"/>
      <c r="E10" s="27"/>
      <c r="F10" s="27"/>
      <c r="G10" s="27"/>
      <c r="H10" s="27"/>
    </row>
    <row r="11" spans="1:8" x14ac:dyDescent="0.2">
      <c r="A11" s="27"/>
      <c r="B11" s="27"/>
      <c r="C11" s="27"/>
      <c r="D11" s="27"/>
      <c r="E11" s="27"/>
      <c r="F11" s="27"/>
      <c r="G11" s="27"/>
      <c r="H11" s="27"/>
    </row>
    <row r="12" spans="1:8" x14ac:dyDescent="0.2">
      <c r="A12" s="32" t="s">
        <v>220</v>
      </c>
      <c r="B12" s="27"/>
      <c r="C12" s="27"/>
      <c r="D12" s="27"/>
      <c r="E12" s="27"/>
      <c r="F12" s="27"/>
      <c r="G12" s="27"/>
      <c r="H12" s="27"/>
    </row>
    <row r="13" spans="1:8" x14ac:dyDescent="0.2">
      <c r="A13" s="30" t="s">
        <v>151</v>
      </c>
      <c r="B13" s="31">
        <v>2019</v>
      </c>
      <c r="C13" s="31">
        <v>2020</v>
      </c>
      <c r="D13" s="31">
        <v>2021</v>
      </c>
      <c r="E13" s="31">
        <v>2022</v>
      </c>
      <c r="F13" s="31">
        <v>2023</v>
      </c>
      <c r="G13" s="31">
        <v>2024</v>
      </c>
      <c r="H13" s="31">
        <v>2025</v>
      </c>
    </row>
    <row r="14" spans="1:8" x14ac:dyDescent="0.2">
      <c r="A14" s="27" t="s">
        <v>221</v>
      </c>
      <c r="B14" s="35">
        <f>Resultados!B25/'Situacion Financiera'!B25</f>
        <v>0.21656989078732944</v>
      </c>
      <c r="C14" s="35">
        <f>Resultados!C25/'Situacion Financiera'!C25</f>
        <v>0.22569470257638932</v>
      </c>
      <c r="D14" s="35">
        <f>Resultados!D25/'Situacion Financiera'!D25</f>
        <v>0.26675957703904168</v>
      </c>
      <c r="E14" s="35">
        <f>Resultados!E25/'Situacion Financiera'!E25</f>
        <v>0.19389283618222294</v>
      </c>
      <c r="F14" s="35">
        <f>Resultados!F25/'Situacion Financiera'!F25</f>
        <v>0.12703099254778205</v>
      </c>
      <c r="G14" s="35">
        <f>Resultados!G25/'Situacion Financiera'!G25</f>
        <v>0.16325683078160966</v>
      </c>
      <c r="H14" s="35">
        <f>Resultados!H25/'Situacion Financiera'!H25</f>
        <v>0.22575798627966748</v>
      </c>
    </row>
    <row r="15" spans="1:8" x14ac:dyDescent="0.2">
      <c r="A15" s="27"/>
      <c r="B15" s="27"/>
      <c r="C15" s="27"/>
      <c r="D15" s="27"/>
      <c r="E15" s="27"/>
      <c r="F15" s="27"/>
      <c r="G15" s="27"/>
      <c r="H15" s="27"/>
    </row>
    <row r="16" spans="1:8" x14ac:dyDescent="0.2">
      <c r="A16" s="27"/>
      <c r="B16" s="27"/>
      <c r="C16" s="27"/>
      <c r="D16" s="27"/>
      <c r="E16" s="27"/>
      <c r="F16" s="27"/>
      <c r="G16" s="27"/>
      <c r="H16" s="27"/>
    </row>
    <row r="17" spans="1:8" x14ac:dyDescent="0.2">
      <c r="A17" s="32" t="s">
        <v>222</v>
      </c>
      <c r="B17" s="27"/>
      <c r="C17" s="27"/>
      <c r="D17" s="27"/>
      <c r="E17" s="27"/>
      <c r="F17" s="27"/>
      <c r="G17" s="27"/>
      <c r="H17" s="27"/>
    </row>
    <row r="18" spans="1:8" x14ac:dyDescent="0.2">
      <c r="A18" s="30" t="s">
        <v>151</v>
      </c>
      <c r="B18" s="31">
        <v>2019</v>
      </c>
      <c r="C18" s="31">
        <v>2020</v>
      </c>
      <c r="D18" s="31">
        <v>2021</v>
      </c>
      <c r="E18" s="31">
        <v>2022</v>
      </c>
      <c r="F18" s="31">
        <v>2023</v>
      </c>
      <c r="G18" s="31">
        <v>2024</v>
      </c>
      <c r="H18" s="31">
        <v>2025</v>
      </c>
    </row>
    <row r="19" spans="1:8" x14ac:dyDescent="0.2">
      <c r="A19" s="27" t="s">
        <v>223</v>
      </c>
      <c r="B19" s="35">
        <f>Resultados!B25/'Situacion Financiera'!B56</f>
        <v>0.31144606162524086</v>
      </c>
      <c r="C19" s="35">
        <f>Resultados!C25/'Situacion Financiera'!C56</f>
        <v>0.32227189065663192</v>
      </c>
      <c r="D19" s="35">
        <f>Resultados!D25/'Situacion Financiera'!D56</f>
        <v>0.3641772952461263</v>
      </c>
      <c r="E19" s="35">
        <f>Resultados!E25/'Situacion Financiera'!E56</f>
        <v>0.25539159689576435</v>
      </c>
      <c r="F19" s="35">
        <f>Resultados!F25/'Situacion Financiera'!F56</f>
        <v>0.179668329677141</v>
      </c>
      <c r="G19" s="35">
        <f>Resultados!G25/'Situacion Financiera'!G56</f>
        <v>0.22039986790703797</v>
      </c>
      <c r="H19" s="35">
        <f>Resultados!H25/'Situacion Financiera'!H56</f>
        <v>0.32619567290853241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8"/>
  <sheetViews>
    <sheetView showGridLines="0" zoomScaleNormal="100" workbookViewId="0"/>
  </sheetViews>
  <sheetFormatPr baseColWidth="10" defaultColWidth="8.6640625" defaultRowHeight="15" x14ac:dyDescent="0.2"/>
  <cols>
    <col min="1" max="1" width="34" customWidth="1"/>
    <col min="2" max="2" width="100" customWidth="1"/>
  </cols>
  <sheetData>
    <row r="1" spans="1:2" ht="17" x14ac:dyDescent="0.2">
      <c r="A1" s="1" t="s">
        <v>0</v>
      </c>
    </row>
    <row r="2" spans="1:2" x14ac:dyDescent="0.2">
      <c r="A2" s="2" t="s">
        <v>118</v>
      </c>
    </row>
    <row r="4" spans="1:2" x14ac:dyDescent="0.2">
      <c r="A4" s="22" t="s">
        <v>119</v>
      </c>
      <c r="B4" s="7"/>
    </row>
    <row r="5" spans="1:2" ht="30" customHeight="1" x14ac:dyDescent="0.2">
      <c r="A5" s="23" t="s">
        <v>120</v>
      </c>
      <c r="B5" s="24" t="s">
        <v>121</v>
      </c>
    </row>
    <row r="6" spans="1:2" ht="30" customHeight="1" x14ac:dyDescent="0.2">
      <c r="A6" s="23" t="s">
        <v>122</v>
      </c>
      <c r="B6" s="24" t="s">
        <v>123</v>
      </c>
    </row>
    <row r="7" spans="1:2" ht="30" customHeight="1" x14ac:dyDescent="0.2">
      <c r="A7" s="23" t="s">
        <v>124</v>
      </c>
      <c r="B7" s="24" t="s">
        <v>125</v>
      </c>
    </row>
    <row r="8" spans="1:2" ht="30" customHeight="1" x14ac:dyDescent="0.2">
      <c r="A8" s="23" t="s">
        <v>126</v>
      </c>
      <c r="B8" s="24" t="s">
        <v>127</v>
      </c>
    </row>
    <row r="9" spans="1:2" ht="30" customHeight="1" x14ac:dyDescent="0.2">
      <c r="A9" s="23" t="s">
        <v>128</v>
      </c>
      <c r="B9" s="24" t="s">
        <v>129</v>
      </c>
    </row>
    <row r="10" spans="1:2" ht="30" customHeight="1" x14ac:dyDescent="0.2">
      <c r="A10" s="23" t="s">
        <v>130</v>
      </c>
      <c r="B10" s="24" t="s">
        <v>131</v>
      </c>
    </row>
    <row r="11" spans="1:2" ht="30" customHeight="1" x14ac:dyDescent="0.2">
      <c r="A11" s="23" t="s">
        <v>132</v>
      </c>
      <c r="B11" s="24" t="s">
        <v>133</v>
      </c>
    </row>
    <row r="13" spans="1:2" x14ac:dyDescent="0.2">
      <c r="A13" s="22" t="s">
        <v>134</v>
      </c>
      <c r="B13" s="7"/>
    </row>
    <row r="14" spans="1:2" ht="75" customHeight="1" x14ac:dyDescent="0.2">
      <c r="B14" s="24" t="s">
        <v>135</v>
      </c>
    </row>
    <row r="16" spans="1:2" x14ac:dyDescent="0.2">
      <c r="A16" s="22" t="s">
        <v>136</v>
      </c>
      <c r="B16" s="7"/>
    </row>
    <row r="17" spans="1:2" ht="60" customHeight="1" x14ac:dyDescent="0.2">
      <c r="A17" s="23" t="s">
        <v>137</v>
      </c>
      <c r="B17" s="24" t="s">
        <v>138</v>
      </c>
    </row>
    <row r="18" spans="1:2" ht="60" customHeight="1" x14ac:dyDescent="0.2">
      <c r="A18" s="23" t="s">
        <v>139</v>
      </c>
      <c r="B18" s="24" t="s">
        <v>140</v>
      </c>
    </row>
    <row r="20" spans="1:2" x14ac:dyDescent="0.2">
      <c r="A20" s="22" t="s">
        <v>141</v>
      </c>
      <c r="B20" s="7"/>
    </row>
    <row r="21" spans="1:2" ht="27.75" customHeight="1" x14ac:dyDescent="0.2">
      <c r="B21" s="24" t="s">
        <v>142</v>
      </c>
    </row>
    <row r="22" spans="1:2" ht="27.75" customHeight="1" x14ac:dyDescent="0.2">
      <c r="B22" s="24" t="s">
        <v>143</v>
      </c>
    </row>
    <row r="23" spans="1:2" ht="27.75" customHeight="1" x14ac:dyDescent="0.2">
      <c r="B23" s="24" t="s">
        <v>144</v>
      </c>
    </row>
    <row r="24" spans="1:2" ht="27.75" customHeight="1" x14ac:dyDescent="0.2">
      <c r="B24" s="24" t="s">
        <v>145</v>
      </c>
    </row>
    <row r="25" spans="1:2" ht="27.75" customHeight="1" x14ac:dyDescent="0.2">
      <c r="B25" s="24" t="s">
        <v>146</v>
      </c>
    </row>
    <row r="27" spans="1:2" x14ac:dyDescent="0.2">
      <c r="A27" s="22" t="s">
        <v>147</v>
      </c>
      <c r="B27" s="7"/>
    </row>
    <row r="28" spans="1:2" ht="60" customHeight="1" x14ac:dyDescent="0.2">
      <c r="B28" s="24" t="s">
        <v>148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Situacion Financiera</vt:lpstr>
      <vt:lpstr>Resultados</vt:lpstr>
      <vt:lpstr>Flujos de Efectivo</vt:lpstr>
      <vt:lpstr>Ratios Financieros</vt:lpstr>
      <vt:lpstr>CCE ROA ROE</vt:lpstr>
      <vt:lpstr>Notas y Fuentes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Eder Cedano Bustos</cp:lastModifiedBy>
  <cp:revision>0</cp:revision>
  <dcterms:created xsi:type="dcterms:W3CDTF">2026-09-11T04:54:48Z</dcterms:created>
  <dcterms:modified xsi:type="dcterms:W3CDTF">2026-09-12T04:19:57Z</dcterms:modified>
  <dc:language>en-US</dc:language>
</cp:coreProperties>
</file>