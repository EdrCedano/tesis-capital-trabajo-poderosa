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acbook/Downloads/Trabajo de Investigación/trabajo investigación/"/>
    </mc:Choice>
  </mc:AlternateContent>
  <xr:revisionPtr revIDLastSave="0" documentId="13_ncr:1_{B5DC91B2-FF98-3D4E-ABAE-79DAF6661EBF}" xr6:coauthVersionLast="47" xr6:coauthVersionMax="47" xr10:uidLastSave="{00000000-0000-0000-0000-000000000000}"/>
  <bookViews>
    <workbookView xWindow="0" yWindow="500" windowWidth="33600" windowHeight="20500" tabRatio="500" activeTab="11" xr2:uid="{00000000-000D-0000-FFFF-FFFF00000000}"/>
  </bookViews>
  <sheets>
    <sheet name="Portada" sheetId="1" r:id="rId1"/>
    <sheet name="ESF" sheetId="2" r:id="rId2"/>
    <sheet name="ERI" sheetId="3" r:id="rId3"/>
    <sheet name="ECP" sheetId="4" r:id="rId4"/>
    <sheet name="EFE" sheetId="5" r:id="rId5"/>
    <sheet name="Ratios" sheetId="6" r:id="rId6"/>
    <sheet name="Cap3_Base2019" sheetId="7" r:id="rId7"/>
    <sheet name="Cap3_Ficha_Promedio" sheetId="8" r:id="rId8"/>
    <sheet name="Cap3_Ficha_Cierre" sheetId="9" r:id="rId9"/>
    <sheet name="Cap3_Descriptivos" sheetId="10" r:id="rId10"/>
    <sheet name="Cap3_Normalidad" sheetId="11" r:id="rId11"/>
    <sheet name="Cap3_Correlaciones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11" l="1"/>
  <c r="D10" i="11"/>
  <c r="D9" i="11"/>
  <c r="D8" i="11"/>
  <c r="D7" i="11"/>
  <c r="D6" i="11"/>
  <c r="I11" i="9"/>
  <c r="H11" i="9"/>
  <c r="G11" i="9"/>
  <c r="F11" i="9"/>
  <c r="E11" i="9"/>
  <c r="D11" i="9"/>
  <c r="I10" i="9"/>
  <c r="H10" i="9"/>
  <c r="G10" i="9"/>
  <c r="F10" i="9"/>
  <c r="E10" i="9"/>
  <c r="D10" i="9"/>
  <c r="I9" i="9"/>
  <c r="I19" i="9" s="1"/>
  <c r="H9" i="9"/>
  <c r="H19" i="9" s="1"/>
  <c r="G9" i="9"/>
  <c r="G19" i="9" s="1"/>
  <c r="F9" i="9"/>
  <c r="F19" i="9" s="1"/>
  <c r="E9" i="9"/>
  <c r="E19" i="9" s="1"/>
  <c r="D9" i="9"/>
  <c r="D19" i="9" s="1"/>
  <c r="I8" i="9"/>
  <c r="I18" i="9" s="1"/>
  <c r="H8" i="9"/>
  <c r="H18" i="9" s="1"/>
  <c r="G8" i="9"/>
  <c r="G18" i="9" s="1"/>
  <c r="F8" i="9"/>
  <c r="F18" i="9" s="1"/>
  <c r="E8" i="9"/>
  <c r="E18" i="9" s="1"/>
  <c r="D8" i="9"/>
  <c r="D18" i="9" s="1"/>
  <c r="I7" i="9"/>
  <c r="I17" i="9" s="1"/>
  <c r="I20" i="9" s="1"/>
  <c r="H7" i="9"/>
  <c r="H17" i="9" s="1"/>
  <c r="G7" i="9"/>
  <c r="G17" i="9" s="1"/>
  <c r="F7" i="9"/>
  <c r="F17" i="9" s="1"/>
  <c r="E7" i="9"/>
  <c r="E17" i="9" s="1"/>
  <c r="D7" i="9"/>
  <c r="D17" i="9" s="1"/>
  <c r="I27" i="8"/>
  <c r="H27" i="8"/>
  <c r="G27" i="8"/>
  <c r="F27" i="8"/>
  <c r="E27" i="8"/>
  <c r="D27" i="8"/>
  <c r="I26" i="8"/>
  <c r="H26" i="8"/>
  <c r="G26" i="8"/>
  <c r="F26" i="8"/>
  <c r="E26" i="8"/>
  <c r="D26" i="8"/>
  <c r="G23" i="8"/>
  <c r="G35" i="8" s="1"/>
  <c r="F23" i="8"/>
  <c r="F35" i="8" s="1"/>
  <c r="I22" i="8"/>
  <c r="H22" i="8"/>
  <c r="G22" i="8"/>
  <c r="F22" i="8"/>
  <c r="E22" i="8"/>
  <c r="E23" i="8" s="1"/>
  <c r="E35" i="8" s="1"/>
  <c r="D22" i="8"/>
  <c r="I21" i="8"/>
  <c r="I23" i="8" s="1"/>
  <c r="I35" i="8" s="1"/>
  <c r="H21" i="8"/>
  <c r="H23" i="8" s="1"/>
  <c r="H35" i="8" s="1"/>
  <c r="G21" i="8"/>
  <c r="F21" i="8"/>
  <c r="E21" i="8"/>
  <c r="D21" i="8"/>
  <c r="D23" i="8" s="1"/>
  <c r="D35" i="8" s="1"/>
  <c r="G17" i="8"/>
  <c r="F17" i="8"/>
  <c r="I16" i="8"/>
  <c r="H16" i="8"/>
  <c r="G16" i="8"/>
  <c r="F16" i="8"/>
  <c r="E16" i="8"/>
  <c r="E17" i="8" s="1"/>
  <c r="D16" i="8"/>
  <c r="D17" i="8" s="1"/>
  <c r="I15" i="8"/>
  <c r="I17" i="8" s="1"/>
  <c r="H15" i="8"/>
  <c r="H17" i="8" s="1"/>
  <c r="G15" i="8"/>
  <c r="F15" i="8"/>
  <c r="E15" i="8"/>
  <c r="D15" i="8"/>
  <c r="I14" i="8"/>
  <c r="H14" i="8"/>
  <c r="I13" i="8"/>
  <c r="H13" i="8"/>
  <c r="G13" i="8"/>
  <c r="G14" i="8" s="1"/>
  <c r="G18" i="8" s="1"/>
  <c r="G34" i="8" s="1"/>
  <c r="F13" i="8"/>
  <c r="F14" i="8" s="1"/>
  <c r="F18" i="8" s="1"/>
  <c r="F34" i="8" s="1"/>
  <c r="E13" i="8"/>
  <c r="D13" i="8"/>
  <c r="I12" i="8"/>
  <c r="H12" i="8"/>
  <c r="G12" i="8"/>
  <c r="F12" i="8"/>
  <c r="E12" i="8"/>
  <c r="E14" i="8" s="1"/>
  <c r="D12" i="8"/>
  <c r="D14" i="8" s="1"/>
  <c r="I8" i="8"/>
  <c r="I9" i="8" s="1"/>
  <c r="I33" i="8" s="1"/>
  <c r="H8" i="8"/>
  <c r="H9" i="8" s="1"/>
  <c r="H33" i="8" s="1"/>
  <c r="G8" i="8"/>
  <c r="F8" i="8"/>
  <c r="E8" i="8"/>
  <c r="D8" i="8"/>
  <c r="I7" i="8"/>
  <c r="H7" i="8"/>
  <c r="G7" i="8"/>
  <c r="G9" i="8" s="1"/>
  <c r="G33" i="8" s="1"/>
  <c r="G36" i="8" s="1"/>
  <c r="F7" i="8"/>
  <c r="F9" i="8" s="1"/>
  <c r="F33" i="8" s="1"/>
  <c r="F36" i="8" s="1"/>
  <c r="E7" i="8"/>
  <c r="E9" i="8" s="1"/>
  <c r="E33" i="8" s="1"/>
  <c r="D7" i="8"/>
  <c r="D9" i="8" s="1"/>
  <c r="D33" i="8" s="1"/>
  <c r="I33" i="6"/>
  <c r="H33" i="6"/>
  <c r="G33" i="6"/>
  <c r="F33" i="6"/>
  <c r="E33" i="6"/>
  <c r="D33" i="6"/>
  <c r="I31" i="6"/>
  <c r="H31" i="6"/>
  <c r="G31" i="6"/>
  <c r="F31" i="6"/>
  <c r="E31" i="6"/>
  <c r="D31" i="6"/>
  <c r="I28" i="6"/>
  <c r="H28" i="6"/>
  <c r="G28" i="6"/>
  <c r="F28" i="6"/>
  <c r="E28" i="6"/>
  <c r="D28" i="6"/>
  <c r="I27" i="6"/>
  <c r="H27" i="6"/>
  <c r="G27" i="6"/>
  <c r="F27" i="6"/>
  <c r="E27" i="6"/>
  <c r="D27" i="6"/>
  <c r="I19" i="6"/>
  <c r="H19" i="6"/>
  <c r="I49" i="5"/>
  <c r="H49" i="5"/>
  <c r="G49" i="5"/>
  <c r="F49" i="5"/>
  <c r="E49" i="5"/>
  <c r="D49" i="5"/>
  <c r="I41" i="5"/>
  <c r="H41" i="5"/>
  <c r="G41" i="5"/>
  <c r="F41" i="5"/>
  <c r="E41" i="5"/>
  <c r="D41" i="5"/>
  <c r="I33" i="5"/>
  <c r="I51" i="5" s="1"/>
  <c r="I54" i="5" s="1"/>
  <c r="I55" i="5" s="1"/>
  <c r="F33" i="5"/>
  <c r="F51" i="5" s="1"/>
  <c r="F54" i="5" s="1"/>
  <c r="F55" i="5" s="1"/>
  <c r="E33" i="5"/>
  <c r="E51" i="5" s="1"/>
  <c r="E54" i="5" s="1"/>
  <c r="E55" i="5" s="1"/>
  <c r="D33" i="5"/>
  <c r="D51" i="5" s="1"/>
  <c r="D54" i="5" s="1"/>
  <c r="D55" i="5" s="1"/>
  <c r="I30" i="5"/>
  <c r="H30" i="5"/>
  <c r="H33" i="5" s="1"/>
  <c r="H51" i="5" s="1"/>
  <c r="H54" i="5" s="1"/>
  <c r="H55" i="5" s="1"/>
  <c r="G30" i="5"/>
  <c r="G33" i="5" s="1"/>
  <c r="G51" i="5" s="1"/>
  <c r="G54" i="5" s="1"/>
  <c r="G55" i="5" s="1"/>
  <c r="F30" i="5"/>
  <c r="E30" i="5"/>
  <c r="D30" i="5"/>
  <c r="I17" i="4"/>
  <c r="H17" i="4"/>
  <c r="G17" i="4"/>
  <c r="F17" i="4"/>
  <c r="E17" i="4"/>
  <c r="D17" i="4"/>
  <c r="I11" i="4"/>
  <c r="I18" i="4" s="1"/>
  <c r="H20" i="3"/>
  <c r="H22" i="3" s="1"/>
  <c r="I19" i="3"/>
  <c r="I20" i="3" s="1"/>
  <c r="I22" i="3" s="1"/>
  <c r="H19" i="3"/>
  <c r="G19" i="3"/>
  <c r="F19" i="3"/>
  <c r="E19" i="3"/>
  <c r="D19" i="3"/>
  <c r="I15" i="3"/>
  <c r="I20" i="6" s="1"/>
  <c r="H15" i="3"/>
  <c r="H20" i="6" s="1"/>
  <c r="G15" i="3"/>
  <c r="G15" i="6" s="1"/>
  <c r="G16" i="6" s="1"/>
  <c r="D15" i="3"/>
  <c r="D20" i="6" s="1"/>
  <c r="I8" i="3"/>
  <c r="H8" i="3"/>
  <c r="G8" i="3"/>
  <c r="G19" i="6" s="1"/>
  <c r="F8" i="3"/>
  <c r="F15" i="3" s="1"/>
  <c r="E8" i="3"/>
  <c r="E15" i="3" s="1"/>
  <c r="D8" i="3"/>
  <c r="D19" i="6" s="1"/>
  <c r="I51" i="2"/>
  <c r="I30" i="8" s="1"/>
  <c r="H51" i="2"/>
  <c r="H30" i="8" s="1"/>
  <c r="G51" i="2"/>
  <c r="G14" i="9" s="1"/>
  <c r="F51" i="2"/>
  <c r="F14" i="9" s="1"/>
  <c r="E51" i="2"/>
  <c r="E32" i="6" s="1"/>
  <c r="D51" i="2"/>
  <c r="D32" i="6" s="1"/>
  <c r="E45" i="2"/>
  <c r="E12" i="6" s="1"/>
  <c r="I44" i="2"/>
  <c r="H44" i="2"/>
  <c r="G44" i="2"/>
  <c r="F44" i="2"/>
  <c r="E44" i="2"/>
  <c r="D44" i="2"/>
  <c r="D45" i="2" s="1"/>
  <c r="I37" i="2"/>
  <c r="I45" i="2" s="1"/>
  <c r="H37" i="2"/>
  <c r="H45" i="2" s="1"/>
  <c r="G37" i="2"/>
  <c r="G45" i="2" s="1"/>
  <c r="F37" i="2"/>
  <c r="F45" i="2" s="1"/>
  <c r="E37" i="2"/>
  <c r="D37" i="2"/>
  <c r="G24" i="2"/>
  <c r="G29" i="8" s="1"/>
  <c r="E24" i="2"/>
  <c r="E13" i="9" s="1"/>
  <c r="D24" i="2"/>
  <c r="D13" i="9" s="1"/>
  <c r="I23" i="2"/>
  <c r="H23" i="2"/>
  <c r="G23" i="2"/>
  <c r="F23" i="2"/>
  <c r="F24" i="2" s="1"/>
  <c r="E23" i="2"/>
  <c r="D23" i="2"/>
  <c r="I15" i="2"/>
  <c r="I24" i="2" s="1"/>
  <c r="H15" i="2"/>
  <c r="H7" i="6" s="1"/>
  <c r="G15" i="2"/>
  <c r="G9" i="6" s="1"/>
  <c r="F15" i="2"/>
  <c r="F9" i="6" s="1"/>
  <c r="E15" i="2"/>
  <c r="E8" i="6" s="1"/>
  <c r="D15" i="2"/>
  <c r="D8" i="6" s="1"/>
  <c r="H20" i="9" l="1"/>
  <c r="F29" i="8"/>
  <c r="F13" i="9"/>
  <c r="F26" i="6"/>
  <c r="I22" i="6"/>
  <c r="I12" i="9"/>
  <c r="I23" i="6"/>
  <c r="I28" i="8"/>
  <c r="I21" i="6"/>
  <c r="H22" i="6"/>
  <c r="H12" i="9"/>
  <c r="H28" i="8"/>
  <c r="H21" i="6"/>
  <c r="C6" i="10"/>
  <c r="B6" i="10"/>
  <c r="F6" i="12"/>
  <c r="F6" i="10"/>
  <c r="E6" i="10"/>
  <c r="F7" i="12"/>
  <c r="D6" i="10"/>
  <c r="G6" i="10" s="1"/>
  <c r="H18" i="8"/>
  <c r="H34" i="8" s="1"/>
  <c r="F8" i="10"/>
  <c r="E8" i="10"/>
  <c r="D8" i="10"/>
  <c r="G8" i="10" s="1"/>
  <c r="C8" i="10"/>
  <c r="F10" i="12"/>
  <c r="B8" i="10"/>
  <c r="F11" i="12"/>
  <c r="H12" i="6"/>
  <c r="H13" i="6"/>
  <c r="H52" i="2"/>
  <c r="I18" i="8"/>
  <c r="I34" i="8" s="1"/>
  <c r="E36" i="8"/>
  <c r="E20" i="6"/>
  <c r="E20" i="3"/>
  <c r="E22" i="3" s="1"/>
  <c r="E15" i="6"/>
  <c r="E16" i="6" s="1"/>
  <c r="I36" i="8"/>
  <c r="E20" i="9"/>
  <c r="I12" i="6"/>
  <c r="I13" i="6"/>
  <c r="I52" i="2"/>
  <c r="I53" i="2" s="1"/>
  <c r="F20" i="3"/>
  <c r="F22" i="3" s="1"/>
  <c r="F15" i="6"/>
  <c r="F16" i="6" s="1"/>
  <c r="F20" i="6"/>
  <c r="H36" i="8"/>
  <c r="D20" i="9"/>
  <c r="I29" i="8"/>
  <c r="I13" i="9"/>
  <c r="I26" i="6"/>
  <c r="D52" i="2"/>
  <c r="D12" i="6"/>
  <c r="D13" i="6"/>
  <c r="D18" i="8"/>
  <c r="D34" i="8" s="1"/>
  <c r="F20" i="9"/>
  <c r="F12" i="6"/>
  <c r="F52" i="2"/>
  <c r="F53" i="2" s="1"/>
  <c r="F13" i="6"/>
  <c r="G12" i="6"/>
  <c r="G13" i="6"/>
  <c r="G52" i="2"/>
  <c r="E18" i="8"/>
  <c r="E34" i="8" s="1"/>
  <c r="G20" i="9"/>
  <c r="H24" i="2"/>
  <c r="D53" i="2"/>
  <c r="D20" i="3"/>
  <c r="D22" i="3" s="1"/>
  <c r="E11" i="4"/>
  <c r="E52" i="2"/>
  <c r="G53" i="2"/>
  <c r="G20" i="3"/>
  <c r="G22" i="3" s="1"/>
  <c r="H11" i="4"/>
  <c r="D7" i="6"/>
  <c r="F8" i="6"/>
  <c r="H9" i="6"/>
  <c r="F14" i="6"/>
  <c r="H15" i="6"/>
  <c r="H16" i="6" s="1"/>
  <c r="F32" i="6"/>
  <c r="D30" i="8"/>
  <c r="H14" i="9"/>
  <c r="E7" i="6"/>
  <c r="G8" i="6"/>
  <c r="I9" i="6"/>
  <c r="E13" i="6"/>
  <c r="G14" i="6"/>
  <c r="I15" i="6"/>
  <c r="I16" i="6" s="1"/>
  <c r="E19" i="6"/>
  <c r="G20" i="6"/>
  <c r="G26" i="6"/>
  <c r="G32" i="6"/>
  <c r="E30" i="8"/>
  <c r="G13" i="9"/>
  <c r="I14" i="9"/>
  <c r="F7" i="6"/>
  <c r="H8" i="6"/>
  <c r="H14" i="6"/>
  <c r="F19" i="6"/>
  <c r="H32" i="6"/>
  <c r="D29" i="8"/>
  <c r="F30" i="8"/>
  <c r="G7" i="6"/>
  <c r="I8" i="6"/>
  <c r="I14" i="6"/>
  <c r="I32" i="6"/>
  <c r="E29" i="8"/>
  <c r="G30" i="8"/>
  <c r="D11" i="4"/>
  <c r="D9" i="6"/>
  <c r="D15" i="6"/>
  <c r="D16" i="6" s="1"/>
  <c r="D14" i="9"/>
  <c r="I7" i="6"/>
  <c r="E9" i="6"/>
  <c r="E14" i="9"/>
  <c r="F11" i="4"/>
  <c r="D14" i="6"/>
  <c r="D26" i="6"/>
  <c r="E53" i="2"/>
  <c r="G11" i="4"/>
  <c r="E14" i="6"/>
  <c r="E26" i="6"/>
  <c r="H53" i="2" l="1"/>
  <c r="H29" i="8"/>
  <c r="H13" i="9"/>
  <c r="H26" i="6"/>
  <c r="I22" i="9"/>
  <c r="I23" i="9"/>
  <c r="H38" i="8"/>
  <c r="H39" i="8"/>
  <c r="H7" i="4"/>
  <c r="G18" i="4"/>
  <c r="G28" i="8"/>
  <c r="G21" i="6"/>
  <c r="G22" i="6"/>
  <c r="G12" i="9"/>
  <c r="G23" i="6"/>
  <c r="E7" i="10"/>
  <c r="F8" i="12"/>
  <c r="D7" i="10"/>
  <c r="G7" i="10" s="1"/>
  <c r="C7" i="10"/>
  <c r="F9" i="12"/>
  <c r="B7" i="10"/>
  <c r="F7" i="10"/>
  <c r="H23" i="6"/>
  <c r="H22" i="9"/>
  <c r="H23" i="9"/>
  <c r="D10" i="4"/>
  <c r="E7" i="4"/>
  <c r="D18" i="4"/>
  <c r="E10" i="4"/>
  <c r="F7" i="4"/>
  <c r="E18" i="4"/>
  <c r="E28" i="8"/>
  <c r="E21" i="6"/>
  <c r="E22" i="6"/>
  <c r="E12" i="9"/>
  <c r="E23" i="6"/>
  <c r="H18" i="4"/>
  <c r="H10" i="4"/>
  <c r="I7" i="4"/>
  <c r="I10" i="4" s="1"/>
  <c r="G7" i="4"/>
  <c r="G10" i="4" s="1"/>
  <c r="F18" i="4"/>
  <c r="F10" i="4"/>
  <c r="D28" i="8"/>
  <c r="D21" i="6"/>
  <c r="D22" i="6"/>
  <c r="D12" i="9"/>
  <c r="D23" i="6"/>
  <c r="F28" i="8"/>
  <c r="F21" i="6"/>
  <c r="F22" i="6"/>
  <c r="F12" i="9"/>
  <c r="F23" i="6"/>
  <c r="D36" i="8"/>
  <c r="I38" i="8"/>
  <c r="I39" i="8"/>
  <c r="G22" i="9" l="1"/>
  <c r="G23" i="9"/>
  <c r="F12" i="12"/>
  <c r="F13" i="12"/>
  <c r="F9" i="10"/>
  <c r="E9" i="10"/>
  <c r="D13" i="12"/>
  <c r="D9" i="10"/>
  <c r="C9" i="10"/>
  <c r="B9" i="10"/>
  <c r="G39" i="8"/>
  <c r="G38" i="8"/>
  <c r="E22" i="9"/>
  <c r="E23" i="9"/>
  <c r="E38" i="8"/>
  <c r="D12" i="12" s="1"/>
  <c r="E39" i="8"/>
  <c r="F22" i="9"/>
  <c r="F23" i="9"/>
  <c r="D38" i="8"/>
  <c r="D39" i="8"/>
  <c r="F39" i="8"/>
  <c r="F38" i="8"/>
  <c r="D22" i="9"/>
  <c r="D23" i="9"/>
  <c r="E12" i="12" l="1"/>
  <c r="G12" i="12" s="1"/>
  <c r="I12" i="12" s="1"/>
  <c r="H12" i="12"/>
  <c r="H13" i="12"/>
  <c r="E13" i="12"/>
  <c r="G13" i="12" s="1"/>
  <c r="I13" i="12" s="1"/>
  <c r="E11" i="10"/>
  <c r="D11" i="10"/>
  <c r="C11" i="10"/>
  <c r="B11" i="10"/>
  <c r="F11" i="10"/>
  <c r="D7" i="12"/>
  <c r="D11" i="12"/>
  <c r="D9" i="12"/>
  <c r="C10" i="10"/>
  <c r="B10" i="10"/>
  <c r="F10" i="10"/>
  <c r="E10" i="10"/>
  <c r="D10" i="10"/>
  <c r="G10" i="10" s="1"/>
  <c r="D10" i="12"/>
  <c r="D6" i="12"/>
  <c r="D8" i="12"/>
  <c r="G9" i="10"/>
  <c r="E8" i="12" l="1"/>
  <c r="G8" i="12" s="1"/>
  <c r="I8" i="12" s="1"/>
  <c r="H8" i="12"/>
  <c r="G11" i="10"/>
  <c r="H9" i="12"/>
  <c r="E9" i="12"/>
  <c r="G9" i="12" s="1"/>
  <c r="I9" i="12" s="1"/>
  <c r="H6" i="12"/>
  <c r="E6" i="12"/>
  <c r="G6" i="12" s="1"/>
  <c r="I6" i="12" s="1"/>
  <c r="E11" i="12"/>
  <c r="G11" i="12" s="1"/>
  <c r="I11" i="12" s="1"/>
  <c r="H11" i="12"/>
  <c r="H10" i="12"/>
  <c r="E10" i="12"/>
  <c r="G10" i="12" s="1"/>
  <c r="I10" i="12" s="1"/>
  <c r="E7" i="12"/>
  <c r="G7" i="12" s="1"/>
  <c r="I7" i="12" s="1"/>
  <c r="H7" i="12"/>
</calcChain>
</file>

<file path=xl/sharedStrings.xml><?xml version="1.0" encoding="utf-8"?>
<sst xmlns="http://schemas.openxmlformats.org/spreadsheetml/2006/main" count="437" uniqueCount="314">
  <si>
    <t>COMPAÑÍA MINERA PODEROSA S.A.</t>
  </si>
  <si>
    <t>Estados Financieros Separados Auditados — Serie 2020 a 2025</t>
  </si>
  <si>
    <t>Base de datos elaborada para trabajo de investigación / tesis de bachiller</t>
  </si>
  <si>
    <t>CONTENIDO DEL LIBRO</t>
  </si>
  <si>
    <t>•  ESF  — Estado Separado de Situación Financiera (Balance General), 2020-2025</t>
  </si>
  <si>
    <t>•  ERI  — Estado Separado de Resultados y Otros Resultados Integrales, 2020-2025</t>
  </si>
  <si>
    <t>•  ECP  — Estado Separado de Cambios en el Patrimonio, 2020-2025</t>
  </si>
  <si>
    <t>•  EFE  — Estado Separado de Flujos de Efectivo, 2020-2025</t>
  </si>
  <si>
    <t>•  Ratios — Indicadores financieros (liquidez, solvencia, rentabilidad, eficiencia, por acción)</t>
  </si>
  <si>
    <t>UNIDADES Y MONEDA</t>
  </si>
  <si>
    <t>Todas las cifras están expresadas en miles de soles (S/000), salvo que se indique lo contrario (p. ej. ganancia por acción, en soles por acción). La moneda funcional y de presentación de la Compañía es el Sol (S/).</t>
  </si>
  <si>
    <t>METODOLOGÍA DE EXTRACCIÓN</t>
  </si>
  <si>
    <t>Las cifras de cada ejercicio (columna del año) se tomaron del Estado Financiero Separado Auditado correspondiente a ESE mismo año de cierre ("as originally reported"), y no de la cifra comparativa presentada en el reporte del año siguiente. Esto se hizo porque KPMG / el auditor de turno reclasificó en años posteriores algunas partidas menores entre líneas (p. ej. entre "Cuentas por pagar comerciales" y "Otras cuentas por pagar", o la apertura de "Activo/Pasivo por impuesto a las ganancias" como línea separada a partir de 2024-2025). Los subtotales y totales de cada año, en cambio, sí calzan exactamente entre el reporte original y las cifras comparativas del reporte siguiente (se verificó fila por fila). Se han insertado filas de control ("Diferencia") en la hoja ESF para validar que Activo = Pasivo + Patrimonio en los seis años.</t>
  </si>
  <si>
    <t>FUENTES (archivos fuente proporcionados por el usuario)</t>
  </si>
  <si>
    <t>•  2020 y 2021: Informe Anual de Sostenibilidad 2021 de Poderosa — Estados Financieros Separados al 31.12.2021 y 31.12.2020, dictaminados por KPMG (Juan José Córdova V., socio), Lima, 31 de enero de 2022.</t>
  </si>
  <si>
    <t>•  2021 y 2022: Estados Financieros Separados Auditados al 31.12.2022 y 31.12.2021.</t>
  </si>
  <si>
    <t>•  2022 y 2023: Estados Financieros Separados Auditados al 31.12.2023 y 31.12.2022.</t>
  </si>
  <si>
    <t>•  2023 y 2024: Estados Financieros Separados Auditados al 31.12.2024 y 31.12.2023.</t>
  </si>
  <si>
    <t>•  2024 y 2025: Estados Financieros Separados Auditados al 31.12.2025 y 31.12.2024, dictaminados (Pablo Saravia Magne, socio), Lima, 6 de febrero de 2026.</t>
  </si>
  <si>
    <t>CONVENCIÓN DE COLORES</t>
  </si>
  <si>
    <t>Texto azul = dato extraído directamente del estado financiero auditado (input). Texto negro = subtotal/total calculado con fórmula (=suma de las partidas de la columna). Texto verde = fórmula que enlaza a otra hoja del libro (usado en la hoja Ratios).</t>
  </si>
  <si>
    <t>ADVERTENCIA</t>
  </si>
  <si>
    <t>Esta base de datos es un insumo de trabajo para fines académicos. Se recomienda contrastar cualquier cifra crítica contra el PDF fuente y las notas explicativas a los estados financieros antes de usarla en el documento final de tesis.</t>
  </si>
  <si>
    <t>Estado Separado de Situación Financiera</t>
  </si>
  <si>
    <t>Al 31 de diciembre de cada año — cifras en miles de soles (S/000)</t>
  </si>
  <si>
    <t>Concepto</t>
  </si>
  <si>
    <t>Nota</t>
  </si>
  <si>
    <t>ACTIVO</t>
  </si>
  <si>
    <t>Activo corriente</t>
  </si>
  <si>
    <t>Efectivo y equivalentes de efectivo</t>
  </si>
  <si>
    <t>6</t>
  </si>
  <si>
    <t>Otros activos financieros (depósitos &gt; 90 días)</t>
  </si>
  <si>
    <t>Cuentas por cobrar comerciales</t>
  </si>
  <si>
    <t>7</t>
  </si>
  <si>
    <t>Otras cuentas por cobrar</t>
  </si>
  <si>
    <t>8</t>
  </si>
  <si>
    <t>Activo por impuesto a las ganancias</t>
  </si>
  <si>
    <t>26</t>
  </si>
  <si>
    <t>Inventarios</t>
  </si>
  <si>
    <t>9</t>
  </si>
  <si>
    <t>Gastos contratados por anticipado</t>
  </si>
  <si>
    <t>10</t>
  </si>
  <si>
    <t>Total activo corriente</t>
  </si>
  <si>
    <t>Activo no corriente</t>
  </si>
  <si>
    <t>Otras cuentas por cobrar (no corriente)</t>
  </si>
  <si>
    <t>Inversiones en subsidiarias y asociadas</t>
  </si>
  <si>
    <t>11</t>
  </si>
  <si>
    <t>Gastos contratados por anticipado (no corriente)</t>
  </si>
  <si>
    <t>Propiedades, planta y equipo</t>
  </si>
  <si>
    <t>12</t>
  </si>
  <si>
    <t>Activos por derecho de uso</t>
  </si>
  <si>
    <t>13</t>
  </si>
  <si>
    <t>Activos intangibles</t>
  </si>
  <si>
    <t>14</t>
  </si>
  <si>
    <t>Total activo no corriente</t>
  </si>
  <si>
    <t>TOTAL ACTIVO</t>
  </si>
  <si>
    <t>PASIVO</t>
  </si>
  <si>
    <t>Pasivo corriente</t>
  </si>
  <si>
    <t>Cuentas por pagar comerciales</t>
  </si>
  <si>
    <t>15</t>
  </si>
  <si>
    <t>Otras cuentas por pagar</t>
  </si>
  <si>
    <t>16</t>
  </si>
  <si>
    <t>Pasivo por impuesto a las ganancias</t>
  </si>
  <si>
    <t>Otros pasivos financieros</t>
  </si>
  <si>
    <t>17</t>
  </si>
  <si>
    <t>Instrumentos financieros derivados</t>
  </si>
  <si>
    <t>21</t>
  </si>
  <si>
    <t>Pasivos por arrendamientos</t>
  </si>
  <si>
    <t>Beneficios a los empleados</t>
  </si>
  <si>
    <t>18</t>
  </si>
  <si>
    <t>Provisiones</t>
  </si>
  <si>
    <t>19</t>
  </si>
  <si>
    <t>Provisión para cierre de minas (porción corriente)</t>
  </si>
  <si>
    <t>20</t>
  </si>
  <si>
    <t>Total pasivo corriente</t>
  </si>
  <si>
    <t>Pasivo no corriente</t>
  </si>
  <si>
    <t>Provisión para cierre de minas</t>
  </si>
  <si>
    <t>Pasivo por impuestos diferidos</t>
  </si>
  <si>
    <t>21/22</t>
  </si>
  <si>
    <t>Total pasivo no corriente</t>
  </si>
  <si>
    <t>Total pasivo</t>
  </si>
  <si>
    <t>PATRIMONIO</t>
  </si>
  <si>
    <t>Capital emitido</t>
  </si>
  <si>
    <t>22/23</t>
  </si>
  <si>
    <t>Otras reservas de capital</t>
  </si>
  <si>
    <t>23/24</t>
  </si>
  <si>
    <t>Resultados acumulados</t>
  </si>
  <si>
    <t>24/25</t>
  </si>
  <si>
    <t>Total patrimonio</t>
  </si>
  <si>
    <t>TOTAL PASIVO Y PATRIMONIO</t>
  </si>
  <si>
    <t>Diferencia de control (Activo - Pasivo y Patrimonio, debe ser 0)</t>
  </si>
  <si>
    <t>Fuente: Estados Financieros Separados Auditados de Compañía Minera Poderosa S.A., cada columna según el reporte del cierre de ese año (ver hoja Portada). Cifras en miles de soles (S/000).</t>
  </si>
  <si>
    <t>Nota: la columna de 2022 muestra el saldo transitorio de depósitos a plazo &gt; 90 días ('Otros activos financieros') que se abrió y cerró entre los ejercicios 2022 y 2023 (ver EFE, actividades de inversión).</t>
  </si>
  <si>
    <t>Estado Separado de Resultados y Otros Resultados Integrales</t>
  </si>
  <si>
    <t>Por los años terminados el 31 de diciembre — cifras en miles de soles (S/000), salvo utilidad por acción</t>
  </si>
  <si>
    <t>Ingresos de actividades ordinarias</t>
  </si>
  <si>
    <t>27/28</t>
  </si>
  <si>
    <t>Costo de ventas</t>
  </si>
  <si>
    <t>28/29</t>
  </si>
  <si>
    <t>Utilidad (ganancia) bruta</t>
  </si>
  <si>
    <t>Ingresos (gastos) de operación</t>
  </si>
  <si>
    <t>Gastos de venta</t>
  </si>
  <si>
    <t>29/30</t>
  </si>
  <si>
    <t>Gastos de administración</t>
  </si>
  <si>
    <t>30/31</t>
  </si>
  <si>
    <t>Otros ingresos</t>
  </si>
  <si>
    <t>34/35</t>
  </si>
  <si>
    <t>Otros gastos</t>
  </si>
  <si>
    <t>Utilidad (resultado) operativo</t>
  </si>
  <si>
    <t>Ingresos financieros</t>
  </si>
  <si>
    <t>32/33</t>
  </si>
  <si>
    <t>Gastos (costos) financieros</t>
  </si>
  <si>
    <t>Gasto financiero neto</t>
  </si>
  <si>
    <t>Utilidad antes de impuestos</t>
  </si>
  <si>
    <t>Gasto por impuesto a las ganancias</t>
  </si>
  <si>
    <t>26/27</t>
  </si>
  <si>
    <t>Utilidad neta y resultado integral del año</t>
  </si>
  <si>
    <t>Ganancia básica por acción común (S/ por acción)</t>
  </si>
  <si>
    <t>33/34</t>
  </si>
  <si>
    <t>Fuente: Estados Financieros Separados Auditados de Compañía Minera Poderosa S.A., cada columna según el reporte del cierre de ese año. 'Otro resultado integral' fue S/ 0 en los seis ejercicios, por lo que la utilidad neta coincide con el total de resultados integrales.</t>
  </si>
  <si>
    <t>La numeración de notas varía ligeramente entre reportes (p. ej. Ingresos es nota 27 en 2025 y nota 28 en años anteriores); se muestran ambas referencias separadas por '/'.</t>
  </si>
  <si>
    <t>Estado Separado de Cambios en el Patrimonio</t>
  </si>
  <si>
    <t>Movimiento anual del patrimonio — cifras en miles de soles (S/000)</t>
  </si>
  <si>
    <t>Conciliación del patrimonio total</t>
  </si>
  <si>
    <t>Patrimonio al inicio del año</t>
  </si>
  <si>
    <t>(+) Resultado del ejercicio</t>
  </si>
  <si>
    <t>(-) Dividendos distribuidos</t>
  </si>
  <si>
    <t>(+/-) Otros movimientos netos (dividendos no distribuidos, capitalización de utilidades / reserva legal, ajustes)</t>
  </si>
  <si>
    <t>Patrimonio al final del año</t>
  </si>
  <si>
    <t>Saldos finales por componente del patrimonio (al 31 de diciembre)</t>
  </si>
  <si>
    <t>Total patrimonio (verificación)</t>
  </si>
  <si>
    <t>Diferencia de control (debe ser 0)</t>
  </si>
  <si>
    <t>Número de acciones comunes en circulación (fin de año)</t>
  </si>
  <si>
    <t>Fuente: Estado Separado de Cambios en el Patrimonio de cada reporte anual auditado. El saldo de patrimonio al 1 de enero de 2020 (S/ 966,909 miles) proviene del Estado Separado de Cambios en el Patrimonio 2021 vs 2020.</t>
  </si>
  <si>
    <t>'Otros movimientos netos' agrupa partidas de menor cuantía (dividendos no distribuidos, emisión de acciones por capitalización de resultados y constitución de reserva legal, que son neutrales para el patrimonio total porque mueven saldos entre Capital emitido / Otras reservas y Resultados acumulados) y ajustes menores.</t>
  </si>
  <si>
    <t>Estado Separado de Flujos de Efectivo</t>
  </si>
  <si>
    <t>Por los años terminados el 31 de diciembre — cifras en miles de soles (S/000)</t>
  </si>
  <si>
    <t>ACTIVIDADES DE OPERACIÓN</t>
  </si>
  <si>
    <t>Resultado del período (utilidad neta)</t>
  </si>
  <si>
    <t>Cargos (abonos) a resultado que no representan movimiento de efectivo</t>
  </si>
  <si>
    <t>Depreciación</t>
  </si>
  <si>
    <t>12 y 13</t>
  </si>
  <si>
    <t>Amortización</t>
  </si>
  <si>
    <t>Provisión para desvalorización de suministros</t>
  </si>
  <si>
    <t>Estimación / provisión por deterioro de cuentas por cobrar</t>
  </si>
  <si>
    <t>Recuperación de cuentas incobrables</t>
  </si>
  <si>
    <t>Provisión por litigios</t>
  </si>
  <si>
    <t>Impuesto a las ganancias diferido</t>
  </si>
  <si>
    <t>Gasto de actualización de la provisión para cierre de mina</t>
  </si>
  <si>
    <t>Pérdida en venta de propiedades, planta y equipo</t>
  </si>
  <si>
    <t>Ganancia en venta de propiedades, planta y equipo</t>
  </si>
  <si>
    <t>34</t>
  </si>
  <si>
    <t>Impuesto a las ganancias (gasto del ejercicio)</t>
  </si>
  <si>
    <t>Diferencia en cambio</t>
  </si>
  <si>
    <t>5.A/17</t>
  </si>
  <si>
    <t>Costos financieros netos / intereses devengados</t>
  </si>
  <si>
    <t>Cargos y abonos por cambios netos en activos y pasivos</t>
  </si>
  <si>
    <t>(Aumento) disminución de cuentas por cobrar comerciales</t>
  </si>
  <si>
    <t>(Aumento) disminución de otras cuentas por cobrar</t>
  </si>
  <si>
    <t>(Aumento) disminución de inventarios</t>
  </si>
  <si>
    <t>Aumento (disminución) de gastos contratados por anticipado</t>
  </si>
  <si>
    <t>Aumento de cuentas por pagar comerciales</t>
  </si>
  <si>
    <t>Aumento (disminución) de otras cuentas por pagar</t>
  </si>
  <si>
    <t>Pago de obligaciones por cierre de unidad minera</t>
  </si>
  <si>
    <t>Efectivo generado / provisto por las actividades de operación</t>
  </si>
  <si>
    <t>Intereses pagados</t>
  </si>
  <si>
    <t>Impuesto a las ganancias pagado</t>
  </si>
  <si>
    <t>Flujo neto provisto por las actividades de operación</t>
  </si>
  <si>
    <t>ACTIVIDADES DE INVERSIÓN</t>
  </si>
  <si>
    <t>Cobranza de depósitos a plazo mayores a 90 días</t>
  </si>
  <si>
    <t>Apertura de depósitos a plazo mayores a 90 días</t>
  </si>
  <si>
    <t>Cobro por venta de propiedades, planta y equipo</t>
  </si>
  <si>
    <t>Pago por compra de activos intangibles</t>
  </si>
  <si>
    <t>Pago por compra de propiedades, planta y equipo</t>
  </si>
  <si>
    <t>12/13</t>
  </si>
  <si>
    <t>Flujo neto utilizado en las actividades de inversión</t>
  </si>
  <si>
    <t>ACTIVIDADES DE FINANCIAMIENTO</t>
  </si>
  <si>
    <t>Obtención de préstamos</t>
  </si>
  <si>
    <t>Pago de préstamos bancarios de corto plazo</t>
  </si>
  <si>
    <t>Pago de préstamos bancarios de largo plazo</t>
  </si>
  <si>
    <t>Pago de arrendamientos (financieros)</t>
  </si>
  <si>
    <t>13 y 17</t>
  </si>
  <si>
    <t>Pago de dividendos</t>
  </si>
  <si>
    <t>17 y 24/25</t>
  </si>
  <si>
    <t>Flujo neto utilizado en las actividades de financiamiento</t>
  </si>
  <si>
    <t>Aumento (disminución) neto de efectivo y equivalentes</t>
  </si>
  <si>
    <t>Efectivo y equivalentes al efectivo al inicio del año</t>
  </si>
  <si>
    <t>Efecto de las variaciones en el tipo de cambio sobre el efectivo</t>
  </si>
  <si>
    <t>Efectivo y equivalentes al efectivo al final del año</t>
  </si>
  <si>
    <t>Diferencia de control (Efectivo EFE vs. Efectivo ESF, debe ser 0)</t>
  </si>
  <si>
    <t>Fuente: Estado Separado de Flujos de Efectivo de cada reporte anual auditado (método indirecto). Cada columna usa las cifras 'as originally reported' del ejercicio correspondiente.</t>
  </si>
  <si>
    <t>En 2022 la Compañía abrió depósitos a plazo mayores a 90 días por S/ 171,900 miles (actividad de inversión, reclasificados fuera de 'Efectivo y equivalentes'); en 2023 estos depósitos se cobraron íntegramente.</t>
  </si>
  <si>
    <t>Indicadores Financieros (Ratios)</t>
  </si>
  <si>
    <t>Calculados a partir de las hojas ESF, ERI y ECP — enlaces con fórmula (no se modifican a mano)</t>
  </si>
  <si>
    <t>1. LIQUIDEZ</t>
  </si>
  <si>
    <t>Razón corriente (veces)</t>
  </si>
  <si>
    <t>Prueba ácida (veces)</t>
  </si>
  <si>
    <t>Capital de trabajo (S/000)</t>
  </si>
  <si>
    <t>2. SOLVENCIA Y APALANCAMIENTO</t>
  </si>
  <si>
    <t>Pasivo total / Patrimonio (D/E)</t>
  </si>
  <si>
    <t>Pasivo total / Activo total</t>
  </si>
  <si>
    <t>Patrimonio / Activo total (solidez)</t>
  </si>
  <si>
    <t>EBITDA (S/000) = Utilidad operativa + Depreciación + Amortización</t>
  </si>
  <si>
    <t>Margen EBITDA (EBITDA / Ingresos)</t>
  </si>
  <si>
    <t>3. RENTABILIDAD</t>
  </si>
  <si>
    <t>Margen bruto</t>
  </si>
  <si>
    <t>Margen operativo</t>
  </si>
  <si>
    <t>Margen neto</t>
  </si>
  <si>
    <t>ROE (Utilidad neta / Patrimonio, fin de año)</t>
  </si>
  <si>
    <t>ROA (Utilidad neta / Activo total, fin de año)</t>
  </si>
  <si>
    <t>4. EFICIENCIA / GESTIÓN</t>
  </si>
  <si>
    <t>Rotación de activos (veces) = Ingresos / Activo total</t>
  </si>
  <si>
    <t>Rotación de inventarios (veces) = |Costo de ventas| / Inventario</t>
  </si>
  <si>
    <t>Días de inventario (365 / rotación)</t>
  </si>
  <si>
    <t>5. POR ACCIÓN</t>
  </si>
  <si>
    <t>Utilidad neta por acción (S/, básica)</t>
  </si>
  <si>
    <t>Valor patrimonial por acción (S/) = Patrimonio / N° acciones fin de año</t>
  </si>
  <si>
    <t>Dividendo pagado por acción (S/, aprox. sobre acciones fin de año)</t>
  </si>
  <si>
    <t>Todos los indicadores de esta hoja se calculan con fórmulas que enlazan a las hojas ESF, ERI y ECP; no se ha digitado ningún número directamente en esta hoja.</t>
  </si>
  <si>
    <t>EBITDA aproximado = Utilidad operativa + Depreciación + Amortización del Estado de Flujos de Efectivo (no incluye ajustes por partidas no recurrentes distintas a D&amp;A).</t>
  </si>
  <si>
    <t>El dividendo por acción es una aproximación porque el número de acciones en circulación cambió durante algunos ejercicios (aumentos de capital por capitalización de utilidades); ver hoja ECP para el detalle de la fecha de cada emisión.</t>
  </si>
  <si>
    <t>Saldos de apertura al 1 de enero de 2020 (= cierre auditado al 31.12.2019)</t>
  </si>
  <si>
    <t>Insumo exclusivo para calcular los saldos PROMEDIO de 2020 en la hoja Cap3_Ficha_Promedio</t>
  </si>
  <si>
    <t>Fuente: Compañía Minera Poderosa S.A., Memoria Anual / Informe de Sostenibilidad 2020, Estado Separado de Situación Financiera al 31 de diciembre de 2020 y de 2019 (columna comparativa 2019).</t>
  </si>
  <si>
    <t>Capítulo 3 — Ficha de Registro de Indicadores (saldos PROMEDIO)</t>
  </si>
  <si>
    <t>PPI, PPC, PPP, CCE, ROA y ROE — período 2020-2025 — base de 360 días</t>
  </si>
  <si>
    <t>1. INVENTARIO (S/000)</t>
  </si>
  <si>
    <t>Inventario al cierre del año anterior</t>
  </si>
  <si>
    <t>Inventario al cierre del año</t>
  </si>
  <si>
    <t>Inventario PROMEDIO</t>
  </si>
  <si>
    <t>2. CUENTAS POR COBRAR (S/000) — comerciales + otras, corrientes</t>
  </si>
  <si>
    <t>Cuentas por cobrar comerciales (año anterior)</t>
  </si>
  <si>
    <t>Otras cuentas por cobrar (año anterior)</t>
  </si>
  <si>
    <t>Total cuentas por cobrar (año anterior)</t>
  </si>
  <si>
    <t>Cuentas por cobrar comerciales (año actual)</t>
  </si>
  <si>
    <t>Otras cuentas por cobrar (año actual)</t>
  </si>
  <si>
    <t>Total cuentas por cobrar (año actual)</t>
  </si>
  <si>
    <t>Cuentas por cobrar PROMEDIO</t>
  </si>
  <si>
    <t>3. CUENTAS POR PAGAR COMERCIALES (S/000)</t>
  </si>
  <si>
    <t>Cuentas por pagar comerciales (año anterior)</t>
  </si>
  <si>
    <t>Cuentas por pagar comerciales (año actual)</t>
  </si>
  <si>
    <t>Cuentas por pagar PROMEDIO</t>
  </si>
  <si>
    <t>4. VARIABLES DEL ESTADO DE RESULTADOS Y DEL BALANCE (S/000)</t>
  </si>
  <si>
    <t>Costo de ventas del año (valor absoluto)</t>
  </si>
  <si>
    <t>Ventas netas del año</t>
  </si>
  <si>
    <t>Utilidad neta del año</t>
  </si>
  <si>
    <t>Activo total (saldo de cierre)</t>
  </si>
  <si>
    <t>Patrimonio total (saldo de cierre)</t>
  </si>
  <si>
    <t>5. INDICADORES — CAPITAL DE TRABAJO Y RENTABILIDAD</t>
  </si>
  <si>
    <t>PPI — Período Promedio de Inventarios (días)</t>
  </si>
  <si>
    <t>PPC — Período Promedio de Cobro (días)</t>
  </si>
  <si>
    <t>PPP — Período Promedio de Pago (días)</t>
  </si>
  <si>
    <t>CCE — Ciclo de Conversión de Efectivo (días) = PPI+PPC-PPP</t>
  </si>
  <si>
    <t>ROA — Utilidad neta / Activo total × 100 (%)</t>
  </si>
  <si>
    <t>ROE — Utilidad neta / Patrimonio total × 100 (%)</t>
  </si>
  <si>
    <t>Metodología: saldo PROMEDIO = (saldo al cierre del año anterior + saldo al cierre del año actual) / 2, conforme a Ross, Westerfield y Jordan (2019). Los saldos de cierre de cada año se enlazan directamente a las hojas ESF y ERI de este mismo libro; el saldo de apertura de 2020 (cierre 2019) se toma de la hoja Cap3_Base2019. Base de 360 días, tal como especifica el capítulo 2.3.4 de la tesis.</t>
  </si>
  <si>
    <t>Celdas amarillas = los 4 indicadores de la variable independiente (Gestión del capital de trabajo). Celdas verdes = los 2 indicadores de la variable dependiente (Rentabilidad).</t>
  </si>
  <si>
    <t>Capítulo 3 — Ficha de Registro de Indicadores (saldos de CIERRE)</t>
  </si>
  <si>
    <t>Criterio alternativo (sin promediar) — coincide con los valores 2023 y 2025 ya verificados en el avance</t>
  </si>
  <si>
    <t>VARIABLES BASE (S/000)</t>
  </si>
  <si>
    <t>Inventario (saldo de cierre)</t>
  </si>
  <si>
    <t>Cuentas por cobrar totales (saldo de cierre)</t>
  </si>
  <si>
    <t>7/8</t>
  </si>
  <si>
    <t>Cuentas por pagar comerciales (saldo de cierre)</t>
  </si>
  <si>
    <t>INDICADORES</t>
  </si>
  <si>
    <t>PPI (días)</t>
  </si>
  <si>
    <t>PPC (días)</t>
  </si>
  <si>
    <t>PPP (días)</t>
  </si>
  <si>
    <t>CCE (días) = PPI+PPC-PPP</t>
  </si>
  <si>
    <t>ROA (%)</t>
  </si>
  <si>
    <t>ROE (%)</t>
  </si>
  <si>
    <t>Este criterio NO promedia (usa directamente el saldo al 31 de diciembre de cada año). Se incluye porque coincide exactamente con los valores 2023 y 2025 ya verificados en el avance de la ficha de registro (apartado 2.3.2 de la tesis). Se recomienda usar un solo criterio en el documento final — ver nota en el Capítulo 3 (Word) sobre por qué se sugiere el criterio de saldo PROMEDIO (hoja Cap3_Ficha_Promedio).</t>
  </si>
  <si>
    <t>Capítulo 3 — Estadística Descriptiva de los Indicadores (2020-2025, n = 6)</t>
  </si>
  <si>
    <t>Calculada sobre la ficha de saldos PROMEDIO (hoja Cap3_Ficha_Promedio)</t>
  </si>
  <si>
    <t>Indicador</t>
  </si>
  <si>
    <t>n</t>
  </si>
  <si>
    <t>Media</t>
  </si>
  <si>
    <t>Desv. Estándar</t>
  </si>
  <si>
    <t>Mínimo</t>
  </si>
  <si>
    <t>Máximo</t>
  </si>
  <si>
    <t>CV (%)</t>
  </si>
  <si>
    <t>CCE (días)</t>
  </si>
  <si>
    <t>n = COUNT(); Media = AVERAGE(); Desviación estándar muestral = STDEV(); CV = |Desv. Estándar / Media| × 100.</t>
  </si>
  <si>
    <t>El CV del CCE es numéricamente elevado porque su media está muy próxima a cero (ver Capítulo 3, Word, nota de la Tabla 3): para esa fila es preferible interpretar la desviación estándar y el rango, no el CV.</t>
  </si>
  <si>
    <t>Capítulo 3 — Prueba de Normalidad de Shapiro-Wilk (n = 6, α = 0.05)</t>
  </si>
  <si>
    <t>H0: la serie proviene de una distribución normal — calculado con Python scipy.stats.shapiro()</t>
  </si>
  <si>
    <t>Estadístico W</t>
  </si>
  <si>
    <t>Valor p</t>
  </si>
  <si>
    <t>Decisión (α = 0.05)</t>
  </si>
  <si>
    <t>PPI</t>
  </si>
  <si>
    <t>PPC</t>
  </si>
  <si>
    <t>PPP</t>
  </si>
  <si>
    <t>CCE</t>
  </si>
  <si>
    <t>ROA</t>
  </si>
  <si>
    <t>ROE</t>
  </si>
  <si>
    <t>El estadístico W y el valor p de Shapiro-Wilk NO tienen una función nativa equivalente en Excel/LibreOffice Calc, por lo que se registran aquí como datos de entrada (en azul), trazables al script 'analisis_tesis.py' (función scipy.stats.shapiro) entregado como Anexo A del Capítulo 3 y reproducible por cualquier tercero a partir de la hoja Cap3_Ficha_Promedio.</t>
  </si>
  <si>
    <t>Como las 6 series no rechazan H0 (p &gt; 0.05 en todos los casos), en la hoja Cap3_Correlaciones se aplica el coeficiente de correlación de Pearson, conforme al criterio de decisión del capítulo 2.4 de la tesis.</t>
  </si>
  <si>
    <t>Capítulo 3 — Correlación de Pearson entre Capital de Trabajo y Rentabilidad (n = 6, α = 0.05)</t>
  </si>
  <si>
    <t>r = PEARSON(); t = r·√(n-2)/√(1-r²); p = TDIST(|t|, n-2, 2 colas) — enlazado a Cap3_Ficha_Promedio</t>
  </si>
  <si>
    <t>Hipótesis</t>
  </si>
  <si>
    <t>Var. 1</t>
  </si>
  <si>
    <t>Var. 2</t>
  </si>
  <si>
    <t>r de Pearson</t>
  </si>
  <si>
    <t>t</t>
  </si>
  <si>
    <t>g.l.</t>
  </si>
  <si>
    <t>Valor p (bilateral)</t>
  </si>
  <si>
    <t>Magnitud (Cohen)</t>
  </si>
  <si>
    <t>Decisión (α=0.05)</t>
  </si>
  <si>
    <t>HE1</t>
  </si>
  <si>
    <t>HE2</t>
  </si>
  <si>
    <t>HE3</t>
  </si>
  <si>
    <t>HG</t>
  </si>
  <si>
    <t>r de Pearson y el valor p se calculan con fórmulas nativas de Excel/LibreOffice (PEARSON, TDIST) enlazadas en vivo a la hoja Cap3_Ficha_Promedio: si se corrige o actualiza cualquier cifra fuente en ESF o ERI, esta tabla se recalcula automáticamente. Los valores de r y p coinciden con los obtenidos en Python (scipy.stats.pearsonr) reportados en el Capítulo 3 del informe.</t>
  </si>
  <si>
    <t>H0: no existe correlación lineal entre las dos variables (ρ = 0). g.l. = grados de libertad = n - 2 = 4. Magnitud según los criterios de Cohen (1988): &lt;0.10 trivial, 0.10-0.29 débil, 0.30-0.49 moderada, ≥0.50 fuerte.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</si>
</sst>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;\-"/>
    <numFmt numFmtId="165" formatCode="#,##0.000"/>
    <numFmt numFmtId="166" formatCode="0.00\x;\(0.00&quot;x)&quot;;\-"/>
    <numFmt numFmtId="167" formatCode="0.0%;\(0.0%\);\-"/>
    <numFmt numFmtId="168" formatCode="0.0"/>
    <numFmt numFmtId="169" formatCode="#,##0.00;\(#,##0.00\);\-"/>
    <numFmt numFmtId="170" formatCode="#,##0.00\%;\(#,##0.00&quot;)%&quot;"/>
    <numFmt numFmtId="171" formatCode="0.000"/>
    <numFmt numFmtId="172" formatCode="0.0000"/>
  </numFmts>
  <fonts count="16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b/>
      <sz val="13"/>
      <name val="Arial"/>
      <charset val="1"/>
    </font>
    <font>
      <i/>
      <sz val="10"/>
      <color rgb="FF595959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b/>
      <sz val="14"/>
      <color rgb="FF1F3864"/>
      <name val="Arial"/>
      <charset val="1"/>
    </font>
    <font>
      <b/>
      <sz val="12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i/>
      <sz val="8"/>
      <color rgb="FF808080"/>
      <name val="Arial"/>
      <charset val="1"/>
    </font>
    <font>
      <sz val="9"/>
      <color rgb="FF595959"/>
      <name val="Arial"/>
      <charset val="1"/>
    </font>
    <font>
      <sz val="10"/>
      <color rgb="FF008000"/>
      <name val="Arial"/>
      <charset val="1"/>
    </font>
    <font>
      <b/>
      <sz val="12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1F3864"/>
        <bgColor rgb="FF404040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404040"/>
      </top>
      <bottom style="thin">
        <color rgb="FFBFBFBF"/>
      </bottom>
      <diagonal/>
    </border>
    <border>
      <left/>
      <right/>
      <top style="double">
        <color rgb="FF1F38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5" fillId="0" borderId="0" xfId="0" applyFont="1"/>
    <xf numFmtId="0" fontId="13" fillId="0" borderId="0" xfId="0" applyFont="1"/>
    <xf numFmtId="0" fontId="4" fillId="4" borderId="0" xfId="0" applyFont="1" applyFill="1"/>
    <xf numFmtId="0" fontId="8" fillId="3" borderId="0" xfId="0" applyFont="1" applyFill="1"/>
    <xf numFmtId="0" fontId="3" fillId="0" borderId="0" xfId="0" applyFont="1"/>
    <xf numFmtId="0" fontId="7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top" wrapText="1"/>
    </xf>
    <xf numFmtId="0" fontId="8" fillId="2" borderId="0" xfId="0" applyFont="1" applyFill="1" applyAlignment="1">
      <alignment horizontal="left"/>
    </xf>
    <xf numFmtId="0" fontId="0" fillId="2" borderId="0" xfId="0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0" fontId="9" fillId="0" borderId="1" xfId="0" applyFont="1" applyBorder="1" applyAlignment="1">
      <alignment indent="1"/>
    </xf>
    <xf numFmtId="0" fontId="9" fillId="0" borderId="1" xfId="0" applyFont="1" applyBorder="1" applyAlignment="1">
      <alignment horizontal="center"/>
    </xf>
    <xf numFmtId="164" fontId="10" fillId="0" borderId="1" xfId="0" applyNumberFormat="1" applyFont="1" applyBorder="1"/>
    <xf numFmtId="164" fontId="9" fillId="0" borderId="1" xfId="0" applyNumberFormat="1" applyFont="1" applyBorder="1"/>
    <xf numFmtId="0" fontId="11" fillId="5" borderId="2" xfId="0" applyFont="1" applyFill="1" applyBorder="1"/>
    <xf numFmtId="0" fontId="0" fillId="5" borderId="2" xfId="0" applyFill="1" applyBorder="1"/>
    <xf numFmtId="0" fontId="0" fillId="5" borderId="0" xfId="0" applyFill="1"/>
    <xf numFmtId="164" fontId="11" fillId="5" borderId="2" xfId="0" applyNumberFormat="1" applyFont="1" applyFill="1" applyBorder="1"/>
    <xf numFmtId="0" fontId="8" fillId="3" borderId="3" xfId="0" applyFont="1" applyFill="1" applyBorder="1"/>
    <xf numFmtId="0" fontId="0" fillId="3" borderId="3" xfId="0" applyFill="1" applyBorder="1"/>
    <xf numFmtId="0" fontId="0" fillId="3" borderId="0" xfId="0" applyFill="1"/>
    <xf numFmtId="164" fontId="8" fillId="3" borderId="3" xfId="0" applyNumberFormat="1" applyFont="1" applyFill="1" applyBorder="1"/>
    <xf numFmtId="0" fontId="12" fillId="0" borderId="0" xfId="0" applyFont="1"/>
    <xf numFmtId="164" fontId="12" fillId="0" borderId="0" xfId="0" applyNumberFormat="1" applyFont="1"/>
    <xf numFmtId="165" fontId="10" fillId="0" borderId="1" xfId="0" applyNumberFormat="1" applyFont="1" applyBorder="1"/>
    <xf numFmtId="0" fontId="0" fillId="0" borderId="1" xfId="0" applyBorder="1"/>
    <xf numFmtId="0" fontId="9" fillId="0" borderId="1" xfId="0" applyFont="1" applyBorder="1" applyAlignment="1">
      <alignment wrapText="1" indent="1"/>
    </xf>
    <xf numFmtId="164" fontId="14" fillId="5" borderId="2" xfId="0" applyNumberFormat="1" applyFont="1" applyFill="1" applyBorder="1"/>
    <xf numFmtId="3" fontId="10" fillId="0" borderId="1" xfId="0" applyNumberFormat="1" applyFont="1" applyBorder="1"/>
    <xf numFmtId="166" fontId="14" fillId="0" borderId="1" xfId="0" applyNumberFormat="1" applyFont="1" applyBorder="1"/>
    <xf numFmtId="164" fontId="14" fillId="0" borderId="1" xfId="0" applyNumberFormat="1" applyFont="1" applyBorder="1"/>
    <xf numFmtId="167" fontId="14" fillId="0" borderId="1" xfId="0" applyNumberFormat="1" applyFont="1" applyBorder="1"/>
    <xf numFmtId="168" fontId="14" fillId="0" borderId="1" xfId="0" applyNumberFormat="1" applyFont="1" applyBorder="1"/>
    <xf numFmtId="165" fontId="14" fillId="0" borderId="1" xfId="0" applyNumberFormat="1" applyFont="1" applyBorder="1"/>
    <xf numFmtId="0" fontId="8" fillId="2" borderId="0" xfId="0" applyFont="1" applyFill="1"/>
    <xf numFmtId="0" fontId="9" fillId="0" borderId="1" xfId="0" applyFont="1" applyBorder="1"/>
    <xf numFmtId="0" fontId="11" fillId="5" borderId="2" xfId="0" applyFont="1" applyFill="1" applyBorder="1" applyAlignment="1">
      <alignment indent="1"/>
    </xf>
    <xf numFmtId="0" fontId="11" fillId="6" borderId="2" xfId="0" applyFont="1" applyFill="1" applyBorder="1" applyAlignment="1">
      <alignment indent="1"/>
    </xf>
    <xf numFmtId="0" fontId="0" fillId="6" borderId="2" xfId="0" applyFill="1" applyBorder="1"/>
    <xf numFmtId="169" fontId="11" fillId="6" borderId="2" xfId="0" applyNumberFormat="1" applyFont="1" applyFill="1" applyBorder="1"/>
    <xf numFmtId="0" fontId="11" fillId="3" borderId="2" xfId="0" applyFont="1" applyFill="1" applyBorder="1" applyAlignment="1">
      <alignment indent="1"/>
    </xf>
    <xf numFmtId="0" fontId="0" fillId="3" borderId="2" xfId="0" applyFill="1" applyBorder="1"/>
    <xf numFmtId="169" fontId="8" fillId="3" borderId="2" xfId="0" applyNumberFormat="1" applyFont="1" applyFill="1" applyBorder="1"/>
    <xf numFmtId="0" fontId="11" fillId="7" borderId="2" xfId="0" applyFont="1" applyFill="1" applyBorder="1" applyAlignment="1">
      <alignment indent="1"/>
    </xf>
    <xf numFmtId="0" fontId="0" fillId="7" borderId="2" xfId="0" applyFill="1" applyBorder="1"/>
    <xf numFmtId="170" fontId="11" fillId="7" borderId="2" xfId="0" applyNumberFormat="1" applyFont="1" applyFill="1" applyBorder="1"/>
    <xf numFmtId="0" fontId="8" fillId="2" borderId="0" xfId="0" applyFont="1" applyFill="1" applyAlignment="1">
      <alignment horizontal="center"/>
    </xf>
    <xf numFmtId="1" fontId="14" fillId="0" borderId="1" xfId="0" applyNumberFormat="1" applyFont="1" applyBorder="1"/>
    <xf numFmtId="169" fontId="14" fillId="0" borderId="1" xfId="0" applyNumberFormat="1" applyFont="1" applyBorder="1"/>
    <xf numFmtId="168" fontId="9" fillId="0" borderId="1" xfId="0" applyNumberFormat="1" applyFont="1" applyBorder="1"/>
    <xf numFmtId="171" fontId="10" fillId="0" borderId="1" xfId="0" applyNumberFormat="1" applyFont="1" applyBorder="1"/>
    <xf numFmtId="172" fontId="10" fillId="0" borderId="1" xfId="0" applyNumberFormat="1" applyFont="1" applyBorder="1"/>
    <xf numFmtId="0" fontId="8" fillId="2" borderId="0" xfId="0" applyFont="1" applyFill="1" applyAlignment="1">
      <alignment horizontal="center" wrapText="1"/>
    </xf>
    <xf numFmtId="0" fontId="9" fillId="0" borderId="1" xfId="0" applyFont="1" applyBorder="1" applyAlignment="1">
      <alignment horizontal="left"/>
    </xf>
    <xf numFmtId="171" fontId="14" fillId="0" borderId="1" xfId="0" applyNumberFormat="1" applyFont="1" applyBorder="1" applyAlignment="1">
      <alignment horizontal="center"/>
    </xf>
    <xf numFmtId="171" fontId="9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72" fontId="9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30"/>
  <sheetViews>
    <sheetView showGridLines="0" zoomScaleNormal="100" workbookViewId="0">
      <selection activeCell="F16" sqref="F16"/>
    </sheetView>
  </sheetViews>
  <sheetFormatPr baseColWidth="10" defaultColWidth="8.6640625" defaultRowHeight="15" x14ac:dyDescent="0.2"/>
  <cols>
    <col min="1" max="1" width="110" customWidth="1"/>
  </cols>
  <sheetData>
    <row r="2" spans="1:1" ht="21.75" customHeight="1" x14ac:dyDescent="0.25">
      <c r="A2" s="8" t="s">
        <v>0</v>
      </c>
    </row>
    <row r="3" spans="1:1" ht="15.75" customHeight="1" x14ac:dyDescent="0.2">
      <c r="A3" s="9" t="s">
        <v>1</v>
      </c>
    </row>
    <row r="4" spans="1:1" ht="15" customHeight="1" x14ac:dyDescent="0.2">
      <c r="A4" s="10" t="s">
        <v>2</v>
      </c>
    </row>
    <row r="6" spans="1:1" ht="15" customHeight="1" x14ac:dyDescent="0.2">
      <c r="A6" s="11" t="s">
        <v>3</v>
      </c>
    </row>
    <row r="7" spans="1:1" ht="15" customHeight="1" x14ac:dyDescent="0.2">
      <c r="A7" s="12" t="s">
        <v>4</v>
      </c>
    </row>
    <row r="8" spans="1:1" ht="15" customHeight="1" x14ac:dyDescent="0.2">
      <c r="A8" s="12" t="s">
        <v>5</v>
      </c>
    </row>
    <row r="9" spans="1:1" ht="15" customHeight="1" x14ac:dyDescent="0.2">
      <c r="A9" s="12" t="s">
        <v>6</v>
      </c>
    </row>
    <row r="10" spans="1:1" ht="15" customHeight="1" x14ac:dyDescent="0.2">
      <c r="A10" s="12" t="s">
        <v>7</v>
      </c>
    </row>
    <row r="11" spans="1:1" ht="15" customHeight="1" x14ac:dyDescent="0.2">
      <c r="A11" s="12" t="s">
        <v>8</v>
      </c>
    </row>
    <row r="13" spans="1:1" ht="15" customHeight="1" x14ac:dyDescent="0.2">
      <c r="A13" s="11" t="s">
        <v>9</v>
      </c>
    </row>
    <row r="14" spans="1:1" ht="23.25" customHeight="1" x14ac:dyDescent="0.2">
      <c r="A14" s="13" t="s">
        <v>10</v>
      </c>
    </row>
    <row r="16" spans="1:1" ht="15" customHeight="1" x14ac:dyDescent="0.2">
      <c r="A16" s="11" t="s">
        <v>11</v>
      </c>
    </row>
    <row r="17" spans="1:1" ht="79.5" customHeight="1" x14ac:dyDescent="0.2">
      <c r="A17" s="13" t="s">
        <v>12</v>
      </c>
    </row>
    <row r="19" spans="1:1" ht="15" customHeight="1" x14ac:dyDescent="0.2">
      <c r="A19" s="11" t="s">
        <v>13</v>
      </c>
    </row>
    <row r="20" spans="1:1" ht="23.25" customHeight="1" x14ac:dyDescent="0.2">
      <c r="A20" s="13" t="s">
        <v>14</v>
      </c>
    </row>
    <row r="21" spans="1:1" ht="15" customHeight="1" x14ac:dyDescent="0.2">
      <c r="A21" s="13" t="s">
        <v>15</v>
      </c>
    </row>
    <row r="22" spans="1:1" ht="15" customHeight="1" x14ac:dyDescent="0.2">
      <c r="A22" s="13" t="s">
        <v>16</v>
      </c>
    </row>
    <row r="23" spans="1:1" ht="15" customHeight="1" x14ac:dyDescent="0.2">
      <c r="A23" s="13" t="s">
        <v>17</v>
      </c>
    </row>
    <row r="24" spans="1:1" ht="23.25" customHeight="1" x14ac:dyDescent="0.2">
      <c r="A24" s="13" t="s">
        <v>18</v>
      </c>
    </row>
    <row r="26" spans="1:1" ht="15" customHeight="1" x14ac:dyDescent="0.2">
      <c r="A26" s="11" t="s">
        <v>19</v>
      </c>
    </row>
    <row r="27" spans="1:1" ht="23.25" customHeight="1" x14ac:dyDescent="0.2">
      <c r="A27" s="13" t="s">
        <v>20</v>
      </c>
    </row>
    <row r="29" spans="1:1" ht="15" customHeight="1" x14ac:dyDescent="0.2">
      <c r="A29" s="11" t="s">
        <v>21</v>
      </c>
    </row>
    <row r="30" spans="1:1" ht="23.25" customHeight="1" x14ac:dyDescent="0.2">
      <c r="A30" s="13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L30" sqref="L30"/>
    </sheetView>
  </sheetViews>
  <sheetFormatPr baseColWidth="10" defaultColWidth="8.6640625" defaultRowHeight="15" x14ac:dyDescent="0.2"/>
  <cols>
    <col min="1" max="1" width="42" customWidth="1"/>
    <col min="2" max="2" width="8" customWidth="1"/>
    <col min="3" max="8" width="13" customWidth="1"/>
    <col min="9" max="9" width="9.1640625" bestFit="1" customWidth="1"/>
  </cols>
  <sheetData>
    <row r="1" spans="1:9" ht="17.2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15" customHeight="1" x14ac:dyDescent="0.2">
      <c r="A2" s="6" t="s">
        <v>23</v>
      </c>
      <c r="B2" s="6"/>
      <c r="C2" s="6"/>
      <c r="D2" s="6"/>
      <c r="E2" s="6"/>
      <c r="F2" s="6"/>
      <c r="G2" s="6"/>
      <c r="H2" s="6"/>
      <c r="I2" s="6"/>
    </row>
    <row r="3" spans="1:9" ht="15" customHeight="1" x14ac:dyDescent="0.2">
      <c r="A3" s="5" t="s">
        <v>24</v>
      </c>
      <c r="B3" s="5"/>
      <c r="C3" s="5"/>
      <c r="D3" s="5"/>
      <c r="E3" s="5"/>
      <c r="F3" s="5"/>
      <c r="G3" s="5"/>
      <c r="H3" s="5"/>
      <c r="I3" s="5"/>
    </row>
    <row r="5" spans="1:9" ht="15" customHeight="1" x14ac:dyDescent="0.2">
      <c r="A5" s="14" t="s">
        <v>25</v>
      </c>
      <c r="B5" s="14" t="s">
        <v>26</v>
      </c>
      <c r="C5" s="15"/>
      <c r="D5" s="16">
        <v>2020</v>
      </c>
      <c r="E5" s="16">
        <v>2021</v>
      </c>
      <c r="F5" s="16">
        <v>2022</v>
      </c>
      <c r="G5" s="16">
        <v>2023</v>
      </c>
      <c r="H5" s="16">
        <v>2024</v>
      </c>
      <c r="I5" s="16">
        <v>2025</v>
      </c>
    </row>
    <row r="6" spans="1:9" ht="15" customHeight="1" x14ac:dyDescent="0.2">
      <c r="A6" s="4" t="s">
        <v>27</v>
      </c>
      <c r="B6" s="4"/>
      <c r="C6" s="4"/>
      <c r="D6" s="4"/>
      <c r="E6" s="4"/>
      <c r="F6" s="4"/>
      <c r="G6" s="4"/>
      <c r="H6" s="4"/>
      <c r="I6" s="4"/>
    </row>
    <row r="7" spans="1:9" ht="15" customHeight="1" x14ac:dyDescent="0.2">
      <c r="A7" s="3" t="s">
        <v>28</v>
      </c>
      <c r="B7" s="3"/>
      <c r="C7" s="3"/>
      <c r="D7" s="3"/>
      <c r="E7" s="3"/>
      <c r="F7" s="3"/>
      <c r="G7" s="3"/>
      <c r="H7" s="3"/>
      <c r="I7" s="3"/>
    </row>
    <row r="8" spans="1:9" ht="15" customHeight="1" x14ac:dyDescent="0.2">
      <c r="A8" s="17" t="s">
        <v>29</v>
      </c>
      <c r="B8" s="18" t="s">
        <v>30</v>
      </c>
      <c r="D8" s="19">
        <v>366089</v>
      </c>
      <c r="E8" s="19">
        <v>622048</v>
      </c>
      <c r="F8" s="19">
        <v>254238</v>
      </c>
      <c r="G8" s="19">
        <v>277363</v>
      </c>
      <c r="H8" s="19">
        <v>147809</v>
      </c>
      <c r="I8" s="19">
        <v>424335</v>
      </c>
    </row>
    <row r="9" spans="1:9" ht="15" customHeight="1" x14ac:dyDescent="0.2">
      <c r="A9" s="17" t="s">
        <v>31</v>
      </c>
      <c r="B9" s="18" t="s">
        <v>30</v>
      </c>
      <c r="D9" s="20"/>
      <c r="E9" s="20"/>
      <c r="F9" s="19">
        <v>171900</v>
      </c>
      <c r="G9" s="19">
        <v>0</v>
      </c>
      <c r="H9" s="20"/>
      <c r="I9" s="20"/>
    </row>
    <row r="10" spans="1:9" ht="15" customHeight="1" x14ac:dyDescent="0.2">
      <c r="A10" s="17" t="s">
        <v>32</v>
      </c>
      <c r="B10" s="18" t="s">
        <v>33</v>
      </c>
      <c r="D10" s="19">
        <v>12787</v>
      </c>
      <c r="E10" s="19">
        <v>10183</v>
      </c>
      <c r="F10" s="19">
        <v>12630</v>
      </c>
      <c r="G10" s="19">
        <v>14628</v>
      </c>
      <c r="H10" s="19">
        <v>19293</v>
      </c>
      <c r="I10" s="19">
        <v>34281</v>
      </c>
    </row>
    <row r="11" spans="1:9" ht="15" customHeight="1" x14ac:dyDescent="0.2">
      <c r="A11" s="17" t="s">
        <v>34</v>
      </c>
      <c r="B11" s="18" t="s">
        <v>35</v>
      </c>
      <c r="D11" s="19">
        <v>16688</v>
      </c>
      <c r="E11" s="19">
        <v>16592</v>
      </c>
      <c r="F11" s="19">
        <v>62109</v>
      </c>
      <c r="G11" s="19">
        <v>87810</v>
      </c>
      <c r="H11" s="19">
        <v>104314</v>
      </c>
      <c r="I11" s="19">
        <v>83432</v>
      </c>
    </row>
    <row r="12" spans="1:9" ht="15" customHeight="1" x14ac:dyDescent="0.2">
      <c r="A12" s="17" t="s">
        <v>36</v>
      </c>
      <c r="B12" s="18" t="s">
        <v>37</v>
      </c>
      <c r="D12" s="20"/>
      <c r="E12" s="20"/>
      <c r="F12" s="20"/>
      <c r="G12" s="20"/>
      <c r="H12" s="19">
        <v>0</v>
      </c>
      <c r="I12" s="19">
        <v>0</v>
      </c>
    </row>
    <row r="13" spans="1:9" ht="15" customHeight="1" x14ac:dyDescent="0.2">
      <c r="A13" s="17" t="s">
        <v>38</v>
      </c>
      <c r="B13" s="18" t="s">
        <v>39</v>
      </c>
      <c r="D13" s="19">
        <v>50084</v>
      </c>
      <c r="E13" s="19">
        <v>59856</v>
      </c>
      <c r="F13" s="19">
        <v>70544</v>
      </c>
      <c r="G13" s="19">
        <v>68270</v>
      </c>
      <c r="H13" s="19">
        <v>97619</v>
      </c>
      <c r="I13" s="19">
        <v>102859</v>
      </c>
    </row>
    <row r="14" spans="1:9" ht="15" customHeight="1" x14ac:dyDescent="0.2">
      <c r="A14" s="17" t="s">
        <v>40</v>
      </c>
      <c r="B14" s="18" t="s">
        <v>41</v>
      </c>
      <c r="D14" s="19">
        <v>19498</v>
      </c>
      <c r="E14" s="19">
        <v>13379</v>
      </c>
      <c r="F14" s="19">
        <v>14443</v>
      </c>
      <c r="G14" s="19">
        <v>16458</v>
      </c>
      <c r="H14" s="19">
        <v>13615</v>
      </c>
      <c r="I14" s="19">
        <v>11476</v>
      </c>
    </row>
    <row r="15" spans="1:9" ht="15" customHeight="1" x14ac:dyDescent="0.2">
      <c r="A15" s="21" t="s">
        <v>42</v>
      </c>
      <c r="B15" s="22"/>
      <c r="C15" s="23"/>
      <c r="D15" s="24">
        <f t="shared" ref="D15:I15" si="0">D8+D9+D10+D11+D12+D13+D14</f>
        <v>465146</v>
      </c>
      <c r="E15" s="24">
        <f t="shared" si="0"/>
        <v>722058</v>
      </c>
      <c r="F15" s="24">
        <f t="shared" si="0"/>
        <v>585864</v>
      </c>
      <c r="G15" s="24">
        <f t="shared" si="0"/>
        <v>464529</v>
      </c>
      <c r="H15" s="24">
        <f t="shared" si="0"/>
        <v>382650</v>
      </c>
      <c r="I15" s="24">
        <f t="shared" si="0"/>
        <v>656383</v>
      </c>
    </row>
    <row r="16" spans="1:9" ht="15" customHeight="1" x14ac:dyDescent="0.2">
      <c r="A16" s="3" t="s">
        <v>43</v>
      </c>
      <c r="B16" s="3"/>
      <c r="C16" s="3"/>
      <c r="D16" s="3"/>
      <c r="E16" s="3"/>
      <c r="F16" s="3"/>
      <c r="G16" s="3"/>
      <c r="H16" s="3"/>
      <c r="I16" s="3"/>
    </row>
    <row r="17" spans="1:9" ht="15" customHeight="1" x14ac:dyDescent="0.2">
      <c r="A17" s="17" t="s">
        <v>44</v>
      </c>
      <c r="B17" s="18" t="s">
        <v>35</v>
      </c>
      <c r="D17" s="20"/>
      <c r="E17" s="20"/>
      <c r="F17" s="19">
        <v>5299</v>
      </c>
      <c r="G17" s="19">
        <v>5668</v>
      </c>
      <c r="H17" s="19">
        <v>5755</v>
      </c>
      <c r="I17" s="19">
        <v>5755</v>
      </c>
    </row>
    <row r="18" spans="1:9" ht="15" customHeight="1" x14ac:dyDescent="0.2">
      <c r="A18" s="17" t="s">
        <v>45</v>
      </c>
      <c r="B18" s="18" t="s">
        <v>46</v>
      </c>
      <c r="D18" s="19">
        <v>25460</v>
      </c>
      <c r="E18" s="19">
        <v>25460</v>
      </c>
      <c r="F18" s="19">
        <v>25837</v>
      </c>
      <c r="G18" s="19">
        <v>25460</v>
      </c>
      <c r="H18" s="19">
        <v>25460</v>
      </c>
      <c r="I18" s="19">
        <v>25460</v>
      </c>
    </row>
    <row r="19" spans="1:9" ht="15" customHeight="1" x14ac:dyDescent="0.2">
      <c r="A19" s="17" t="s">
        <v>47</v>
      </c>
      <c r="B19" s="18" t="s">
        <v>41</v>
      </c>
      <c r="D19" s="19">
        <v>20411</v>
      </c>
      <c r="E19" s="19">
        <v>18580</v>
      </c>
      <c r="F19" s="19">
        <v>15013</v>
      </c>
      <c r="G19" s="19">
        <v>12011</v>
      </c>
      <c r="H19" s="19">
        <v>12011</v>
      </c>
      <c r="I19" s="19">
        <v>19095</v>
      </c>
    </row>
    <row r="20" spans="1:9" ht="15" customHeight="1" x14ac:dyDescent="0.2">
      <c r="A20" s="17" t="s">
        <v>48</v>
      </c>
      <c r="B20" s="18" t="s">
        <v>49</v>
      </c>
      <c r="D20" s="19">
        <v>668676</v>
      </c>
      <c r="E20" s="19">
        <v>761277</v>
      </c>
      <c r="F20" s="19">
        <v>829522</v>
      </c>
      <c r="G20" s="19">
        <v>1035860</v>
      </c>
      <c r="H20" s="19">
        <v>1106796</v>
      </c>
      <c r="I20" s="19">
        <v>1305460</v>
      </c>
    </row>
    <row r="21" spans="1:9" ht="15" customHeight="1" x14ac:dyDescent="0.2">
      <c r="A21" s="17" t="s">
        <v>50</v>
      </c>
      <c r="B21" s="18" t="s">
        <v>51</v>
      </c>
      <c r="D21" s="19">
        <v>21982</v>
      </c>
      <c r="E21" s="19">
        <v>30105</v>
      </c>
      <c r="F21" s="19">
        <v>29499</v>
      </c>
      <c r="G21" s="19">
        <v>21778</v>
      </c>
      <c r="H21" s="19">
        <v>17749</v>
      </c>
      <c r="I21" s="19">
        <v>13544</v>
      </c>
    </row>
    <row r="22" spans="1:9" ht="15" customHeight="1" x14ac:dyDescent="0.2">
      <c r="A22" s="17" t="s">
        <v>52</v>
      </c>
      <c r="B22" s="18" t="s">
        <v>53</v>
      </c>
      <c r="D22" s="19">
        <v>506646</v>
      </c>
      <c r="E22" s="19">
        <v>514768</v>
      </c>
      <c r="F22" s="19">
        <v>609843</v>
      </c>
      <c r="G22" s="19">
        <v>762189</v>
      </c>
      <c r="H22" s="19">
        <v>992370</v>
      </c>
      <c r="I22" s="19">
        <v>1163147</v>
      </c>
    </row>
    <row r="23" spans="1:9" ht="15" customHeight="1" x14ac:dyDescent="0.2">
      <c r="A23" s="21" t="s">
        <v>54</v>
      </c>
      <c r="B23" s="22"/>
      <c r="C23" s="23"/>
      <c r="D23" s="24">
        <f t="shared" ref="D23:I23" si="1">D17+D18+D19+D20+D21+D22</f>
        <v>1243175</v>
      </c>
      <c r="E23" s="24">
        <f t="shared" si="1"/>
        <v>1350190</v>
      </c>
      <c r="F23" s="24">
        <f t="shared" si="1"/>
        <v>1515013</v>
      </c>
      <c r="G23" s="24">
        <f t="shared" si="1"/>
        <v>1862966</v>
      </c>
      <c r="H23" s="24">
        <f t="shared" si="1"/>
        <v>2160141</v>
      </c>
      <c r="I23" s="24">
        <f t="shared" si="1"/>
        <v>2532461</v>
      </c>
    </row>
    <row r="24" spans="1:9" ht="15" customHeight="1" x14ac:dyDescent="0.2">
      <c r="A24" s="25" t="s">
        <v>55</v>
      </c>
      <c r="B24" s="26"/>
      <c r="C24" s="27"/>
      <c r="D24" s="28">
        <f t="shared" ref="D24:I24" si="2">D15+D23</f>
        <v>1708321</v>
      </c>
      <c r="E24" s="28">
        <f t="shared" si="2"/>
        <v>2072248</v>
      </c>
      <c r="F24" s="28">
        <f t="shared" si="2"/>
        <v>2100877</v>
      </c>
      <c r="G24" s="28">
        <f t="shared" si="2"/>
        <v>2327495</v>
      </c>
      <c r="H24" s="28">
        <f t="shared" si="2"/>
        <v>2542791</v>
      </c>
      <c r="I24" s="28">
        <f t="shared" si="2"/>
        <v>3188844</v>
      </c>
    </row>
    <row r="26" spans="1:9" ht="15" customHeight="1" x14ac:dyDescent="0.2">
      <c r="A26" s="4" t="s">
        <v>56</v>
      </c>
      <c r="B26" s="4"/>
      <c r="C26" s="4"/>
      <c r="D26" s="4"/>
      <c r="E26" s="4"/>
      <c r="F26" s="4"/>
      <c r="G26" s="4"/>
      <c r="H26" s="4"/>
      <c r="I26" s="4"/>
    </row>
    <row r="27" spans="1:9" ht="15" customHeight="1" x14ac:dyDescent="0.2">
      <c r="A27" s="3" t="s">
        <v>57</v>
      </c>
      <c r="B27" s="3"/>
      <c r="C27" s="3"/>
      <c r="D27" s="3"/>
      <c r="E27" s="3"/>
      <c r="F27" s="3"/>
      <c r="G27" s="3"/>
      <c r="H27" s="3"/>
      <c r="I27" s="3"/>
    </row>
    <row r="28" spans="1:9" ht="15" customHeight="1" x14ac:dyDescent="0.2">
      <c r="A28" s="17" t="s">
        <v>58</v>
      </c>
      <c r="B28" s="18" t="s">
        <v>59</v>
      </c>
      <c r="D28" s="19">
        <v>85609</v>
      </c>
      <c r="E28" s="19">
        <v>86042</v>
      </c>
      <c r="F28" s="19">
        <v>103394</v>
      </c>
      <c r="G28" s="19">
        <v>210432</v>
      </c>
      <c r="H28" s="19">
        <v>221961</v>
      </c>
      <c r="I28" s="19">
        <v>303688</v>
      </c>
    </row>
    <row r="29" spans="1:9" ht="15" customHeight="1" x14ac:dyDescent="0.2">
      <c r="A29" s="17" t="s">
        <v>60</v>
      </c>
      <c r="B29" s="18" t="s">
        <v>61</v>
      </c>
      <c r="D29" s="19">
        <v>109926</v>
      </c>
      <c r="E29" s="19">
        <v>156479</v>
      </c>
      <c r="F29" s="19">
        <v>127512</v>
      </c>
      <c r="G29" s="19">
        <v>67911</v>
      </c>
      <c r="H29" s="19">
        <v>89451</v>
      </c>
      <c r="I29" s="19">
        <v>117990</v>
      </c>
    </row>
    <row r="30" spans="1:9" ht="15" customHeight="1" x14ac:dyDescent="0.2">
      <c r="A30" s="17" t="s">
        <v>62</v>
      </c>
      <c r="B30" s="18" t="s">
        <v>37</v>
      </c>
      <c r="D30" s="20"/>
      <c r="E30" s="20"/>
      <c r="F30" s="20"/>
      <c r="G30" s="20"/>
      <c r="H30" s="19">
        <v>0</v>
      </c>
      <c r="I30" s="19">
        <v>62029</v>
      </c>
    </row>
    <row r="31" spans="1:9" ht="15" customHeight="1" x14ac:dyDescent="0.2">
      <c r="A31" s="17" t="s">
        <v>63</v>
      </c>
      <c r="B31" s="18" t="s">
        <v>64</v>
      </c>
      <c r="D31" s="19">
        <v>65650</v>
      </c>
      <c r="E31" s="19">
        <v>68532</v>
      </c>
      <c r="F31" s="19">
        <v>88270</v>
      </c>
      <c r="G31" s="19">
        <v>98735</v>
      </c>
      <c r="H31" s="19">
        <v>100100</v>
      </c>
      <c r="I31" s="19">
        <v>199052</v>
      </c>
    </row>
    <row r="32" spans="1:9" ht="15" customHeight="1" x14ac:dyDescent="0.2">
      <c r="A32" s="17" t="s">
        <v>65</v>
      </c>
      <c r="B32" s="18" t="s">
        <v>66</v>
      </c>
      <c r="D32" s="19">
        <v>6748</v>
      </c>
      <c r="E32" s="19">
        <v>0</v>
      </c>
      <c r="F32" s="20"/>
      <c r="G32" s="20"/>
      <c r="H32" s="20"/>
      <c r="I32" s="20"/>
    </row>
    <row r="33" spans="1:9" ht="15" customHeight="1" x14ac:dyDescent="0.2">
      <c r="A33" s="17" t="s">
        <v>67</v>
      </c>
      <c r="B33" s="18" t="s">
        <v>51</v>
      </c>
      <c r="D33" s="19">
        <v>10869</v>
      </c>
      <c r="E33" s="19">
        <v>11517</v>
      </c>
      <c r="F33" s="19">
        <v>5697</v>
      </c>
      <c r="G33" s="19">
        <v>4480</v>
      </c>
      <c r="H33" s="19">
        <v>1904</v>
      </c>
      <c r="I33" s="19">
        <v>1418</v>
      </c>
    </row>
    <row r="34" spans="1:9" ht="15" customHeight="1" x14ac:dyDescent="0.2">
      <c r="A34" s="17" t="s">
        <v>68</v>
      </c>
      <c r="B34" s="18" t="s">
        <v>69</v>
      </c>
      <c r="D34" s="19">
        <v>52331</v>
      </c>
      <c r="E34" s="19">
        <v>71526</v>
      </c>
      <c r="F34" s="19">
        <v>59491</v>
      </c>
      <c r="G34" s="19">
        <v>41236</v>
      </c>
      <c r="H34" s="19">
        <v>51276</v>
      </c>
      <c r="I34" s="19">
        <v>91718</v>
      </c>
    </row>
    <row r="35" spans="1:9" ht="15" customHeight="1" x14ac:dyDescent="0.2">
      <c r="A35" s="17" t="s">
        <v>70</v>
      </c>
      <c r="B35" s="18" t="s">
        <v>71</v>
      </c>
      <c r="D35" s="19">
        <v>4014</v>
      </c>
      <c r="E35" s="19">
        <v>2283</v>
      </c>
      <c r="F35" s="19">
        <v>1575</v>
      </c>
      <c r="G35" s="19">
        <v>1765</v>
      </c>
      <c r="H35" s="19">
        <v>2470</v>
      </c>
      <c r="I35" s="19">
        <v>2472</v>
      </c>
    </row>
    <row r="36" spans="1:9" ht="15" customHeight="1" x14ac:dyDescent="0.2">
      <c r="A36" s="17" t="s">
        <v>72</v>
      </c>
      <c r="B36" s="18" t="s">
        <v>73</v>
      </c>
      <c r="D36" s="19">
        <v>3397</v>
      </c>
      <c r="E36" s="19">
        <v>3748</v>
      </c>
      <c r="F36" s="19">
        <v>3581</v>
      </c>
      <c r="G36" s="19">
        <v>2923</v>
      </c>
      <c r="H36" s="19">
        <v>3392</v>
      </c>
      <c r="I36" s="19">
        <v>1836</v>
      </c>
    </row>
    <row r="37" spans="1:9" ht="15" customHeight="1" x14ac:dyDescent="0.2">
      <c r="A37" s="21" t="s">
        <v>74</v>
      </c>
      <c r="B37" s="22"/>
      <c r="C37" s="23"/>
      <c r="D37" s="24">
        <f t="shared" ref="D37:I37" si="3">D28+D29+D30+D31+D32+D33+D34+D35+D36</f>
        <v>338544</v>
      </c>
      <c r="E37" s="24">
        <f t="shared" si="3"/>
        <v>400127</v>
      </c>
      <c r="F37" s="24">
        <f t="shared" si="3"/>
        <v>389520</v>
      </c>
      <c r="G37" s="24">
        <f t="shared" si="3"/>
        <v>427482</v>
      </c>
      <c r="H37" s="24">
        <f t="shared" si="3"/>
        <v>470554</v>
      </c>
      <c r="I37" s="24">
        <f t="shared" si="3"/>
        <v>780203</v>
      </c>
    </row>
    <row r="38" spans="1:9" ht="15" customHeight="1" x14ac:dyDescent="0.2">
      <c r="A38" s="3" t="s">
        <v>75</v>
      </c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2">
      <c r="A39" s="17" t="s">
        <v>60</v>
      </c>
      <c r="B39" s="18" t="s">
        <v>61</v>
      </c>
      <c r="D39" s="19">
        <v>2659</v>
      </c>
      <c r="E39" s="19">
        <v>1660</v>
      </c>
      <c r="F39" s="19">
        <v>420</v>
      </c>
      <c r="G39" s="19">
        <v>241</v>
      </c>
      <c r="H39" s="19">
        <v>209</v>
      </c>
      <c r="I39" s="19">
        <v>174</v>
      </c>
    </row>
    <row r="40" spans="1:9" ht="15" customHeight="1" x14ac:dyDescent="0.2">
      <c r="A40" s="17" t="s">
        <v>63</v>
      </c>
      <c r="B40" s="18" t="s">
        <v>64</v>
      </c>
      <c r="D40" s="19">
        <v>43224</v>
      </c>
      <c r="E40" s="19">
        <v>31402</v>
      </c>
      <c r="F40" s="19">
        <v>0</v>
      </c>
      <c r="G40" s="19">
        <v>51982</v>
      </c>
      <c r="H40" s="19">
        <v>22620</v>
      </c>
      <c r="I40" s="19">
        <v>0</v>
      </c>
    </row>
    <row r="41" spans="1:9" ht="15" customHeight="1" x14ac:dyDescent="0.2">
      <c r="A41" s="17" t="s">
        <v>67</v>
      </c>
      <c r="B41" s="18" t="s">
        <v>51</v>
      </c>
      <c r="D41" s="19">
        <v>10954</v>
      </c>
      <c r="E41" s="19">
        <v>17220</v>
      </c>
      <c r="F41" s="19">
        <v>11751</v>
      </c>
      <c r="G41" s="19">
        <v>8761</v>
      </c>
      <c r="H41" s="19">
        <v>7441</v>
      </c>
      <c r="I41" s="19">
        <v>5194</v>
      </c>
    </row>
    <row r="42" spans="1:9" ht="15" customHeight="1" x14ac:dyDescent="0.2">
      <c r="A42" s="17" t="s">
        <v>76</v>
      </c>
      <c r="B42" s="18" t="s">
        <v>73</v>
      </c>
      <c r="D42" s="19">
        <v>74049</v>
      </c>
      <c r="E42" s="19">
        <v>67451</v>
      </c>
      <c r="F42" s="19">
        <v>61084</v>
      </c>
      <c r="G42" s="19">
        <v>128506</v>
      </c>
      <c r="H42" s="19">
        <v>62684</v>
      </c>
      <c r="I42" s="19">
        <v>129368</v>
      </c>
    </row>
    <row r="43" spans="1:9" ht="15" customHeight="1" x14ac:dyDescent="0.2">
      <c r="A43" s="17" t="s">
        <v>77</v>
      </c>
      <c r="B43" s="18" t="s">
        <v>78</v>
      </c>
      <c r="D43" s="19">
        <v>42513</v>
      </c>
      <c r="E43" s="19">
        <v>36468</v>
      </c>
      <c r="F43" s="19">
        <v>43120</v>
      </c>
      <c r="G43" s="19">
        <v>64913</v>
      </c>
      <c r="H43" s="19">
        <v>95761</v>
      </c>
      <c r="I43" s="19">
        <v>66926</v>
      </c>
    </row>
    <row r="44" spans="1:9" ht="15" customHeight="1" x14ac:dyDescent="0.2">
      <c r="A44" s="21" t="s">
        <v>79</v>
      </c>
      <c r="B44" s="22"/>
      <c r="C44" s="23"/>
      <c r="D44" s="24">
        <f t="shared" ref="D44:I44" si="4">D39+D40+D41+D42+D43</f>
        <v>173399</v>
      </c>
      <c r="E44" s="24">
        <f t="shared" si="4"/>
        <v>154201</v>
      </c>
      <c r="F44" s="24">
        <f t="shared" si="4"/>
        <v>116375</v>
      </c>
      <c r="G44" s="24">
        <f t="shared" si="4"/>
        <v>254403</v>
      </c>
      <c r="H44" s="24">
        <f t="shared" si="4"/>
        <v>188715</v>
      </c>
      <c r="I44" s="24">
        <f t="shared" si="4"/>
        <v>201662</v>
      </c>
    </row>
    <row r="45" spans="1:9" ht="15" customHeight="1" x14ac:dyDescent="0.2">
      <c r="A45" s="25" t="s">
        <v>80</v>
      </c>
      <c r="B45" s="26"/>
      <c r="C45" s="27"/>
      <c r="D45" s="28">
        <f t="shared" ref="D45:I45" si="5">D37+D44</f>
        <v>511943</v>
      </c>
      <c r="E45" s="28">
        <f t="shared" si="5"/>
        <v>554328</v>
      </c>
      <c r="F45" s="28">
        <f t="shared" si="5"/>
        <v>505895</v>
      </c>
      <c r="G45" s="28">
        <f t="shared" si="5"/>
        <v>681885</v>
      </c>
      <c r="H45" s="28">
        <f t="shared" si="5"/>
        <v>659269</v>
      </c>
      <c r="I45" s="28">
        <f t="shared" si="5"/>
        <v>981865</v>
      </c>
    </row>
    <row r="47" spans="1:9" ht="15" customHeight="1" x14ac:dyDescent="0.2">
      <c r="A47" s="4" t="s">
        <v>81</v>
      </c>
      <c r="B47" s="4"/>
      <c r="C47" s="4"/>
      <c r="D47" s="4"/>
      <c r="E47" s="4"/>
      <c r="F47" s="4"/>
      <c r="G47" s="4"/>
      <c r="H47" s="4"/>
      <c r="I47" s="4"/>
    </row>
    <row r="48" spans="1:9" ht="15" customHeight="1" x14ac:dyDescent="0.2">
      <c r="A48" s="17" t="s">
        <v>82</v>
      </c>
      <c r="B48" s="18" t="s">
        <v>83</v>
      </c>
      <c r="D48" s="19">
        <v>363000</v>
      </c>
      <c r="E48" s="19">
        <v>453750</v>
      </c>
      <c r="F48" s="19">
        <v>453750</v>
      </c>
      <c r="G48" s="19">
        <v>600000</v>
      </c>
      <c r="H48" s="19">
        <v>800000</v>
      </c>
      <c r="I48" s="19">
        <v>1000000</v>
      </c>
    </row>
    <row r="49" spans="1:9" ht="15" customHeight="1" x14ac:dyDescent="0.2">
      <c r="A49" s="17" t="s">
        <v>84</v>
      </c>
      <c r="B49" s="18" t="s">
        <v>85</v>
      </c>
      <c r="D49" s="19">
        <v>72600</v>
      </c>
      <c r="E49" s="19">
        <v>90750</v>
      </c>
      <c r="F49" s="19">
        <v>90750</v>
      </c>
      <c r="G49" s="19">
        <v>120000</v>
      </c>
      <c r="H49" s="19">
        <v>160000</v>
      </c>
      <c r="I49" s="19">
        <v>200000</v>
      </c>
    </row>
    <row r="50" spans="1:9" ht="15" customHeight="1" x14ac:dyDescent="0.2">
      <c r="A50" s="17" t="s">
        <v>86</v>
      </c>
      <c r="B50" s="18" t="s">
        <v>87</v>
      </c>
      <c r="D50" s="19">
        <v>760778</v>
      </c>
      <c r="E50" s="19">
        <v>973420</v>
      </c>
      <c r="F50" s="19">
        <v>1050482</v>
      </c>
      <c r="G50" s="19">
        <v>925610</v>
      </c>
      <c r="H50" s="19">
        <v>923522</v>
      </c>
      <c r="I50" s="19">
        <v>1006979</v>
      </c>
    </row>
    <row r="51" spans="1:9" ht="15" customHeight="1" x14ac:dyDescent="0.2">
      <c r="A51" s="21" t="s">
        <v>88</v>
      </c>
      <c r="B51" s="22"/>
      <c r="C51" s="23"/>
      <c r="D51" s="24">
        <f t="shared" ref="D51:I51" si="6">D48+D49+D50</f>
        <v>1196378</v>
      </c>
      <c r="E51" s="24">
        <f t="shared" si="6"/>
        <v>1517920</v>
      </c>
      <c r="F51" s="24">
        <f t="shared" si="6"/>
        <v>1594982</v>
      </c>
      <c r="G51" s="24">
        <f t="shared" si="6"/>
        <v>1645610</v>
      </c>
      <c r="H51" s="24">
        <f t="shared" si="6"/>
        <v>1883522</v>
      </c>
      <c r="I51" s="24">
        <f t="shared" si="6"/>
        <v>2206979</v>
      </c>
    </row>
    <row r="52" spans="1:9" ht="15" customHeight="1" x14ac:dyDescent="0.2">
      <c r="A52" s="25" t="s">
        <v>89</v>
      </c>
      <c r="B52" s="26"/>
      <c r="C52" s="27"/>
      <c r="D52" s="28">
        <f t="shared" ref="D52:I52" si="7">D45+D51</f>
        <v>1708321</v>
      </c>
      <c r="E52" s="28">
        <f t="shared" si="7"/>
        <v>2072248</v>
      </c>
      <c r="F52" s="28">
        <f t="shared" si="7"/>
        <v>2100877</v>
      </c>
      <c r="G52" s="28">
        <f t="shared" si="7"/>
        <v>2327495</v>
      </c>
      <c r="H52" s="28">
        <f t="shared" si="7"/>
        <v>2542791</v>
      </c>
      <c r="I52" s="28">
        <f t="shared" si="7"/>
        <v>3188844</v>
      </c>
    </row>
    <row r="53" spans="1:9" ht="15" customHeight="1" x14ac:dyDescent="0.2">
      <c r="A53" s="29" t="s">
        <v>90</v>
      </c>
      <c r="D53" s="30">
        <f t="shared" ref="D53:I53" si="8">D24-D52</f>
        <v>0</v>
      </c>
      <c r="E53" s="30">
        <f t="shared" si="8"/>
        <v>0</v>
      </c>
      <c r="F53" s="30">
        <f t="shared" si="8"/>
        <v>0</v>
      </c>
      <c r="G53" s="30">
        <f t="shared" si="8"/>
        <v>0</v>
      </c>
      <c r="H53" s="30">
        <f t="shared" si="8"/>
        <v>0</v>
      </c>
      <c r="I53" s="30">
        <f t="shared" si="8"/>
        <v>0</v>
      </c>
    </row>
    <row r="55" spans="1:9" ht="15" customHeight="1" x14ac:dyDescent="0.2">
      <c r="A55" s="2" t="s">
        <v>91</v>
      </c>
      <c r="B55" s="2"/>
      <c r="C55" s="2"/>
      <c r="D55" s="2"/>
      <c r="E55" s="2"/>
      <c r="F55" s="2"/>
      <c r="G55" s="2"/>
      <c r="H55" s="2"/>
      <c r="I55" s="2"/>
    </row>
    <row r="56" spans="1:9" ht="15" customHeight="1" x14ac:dyDescent="0.2">
      <c r="A56" s="2" t="s">
        <v>92</v>
      </c>
      <c r="B56" s="2"/>
      <c r="C56" s="2"/>
      <c r="D56" s="2"/>
      <c r="E56" s="2"/>
      <c r="F56" s="2"/>
      <c r="G56" s="2"/>
      <c r="H56" s="2"/>
      <c r="I56" s="2"/>
    </row>
  </sheetData>
  <mergeCells count="12">
    <mergeCell ref="A55:I55"/>
    <mergeCell ref="A56:I56"/>
    <mergeCell ref="A16:I16"/>
    <mergeCell ref="A26:I26"/>
    <mergeCell ref="A27:I27"/>
    <mergeCell ref="A38:I38"/>
    <mergeCell ref="A47:I47"/>
    <mergeCell ref="A1:I1"/>
    <mergeCell ref="A2:I2"/>
    <mergeCell ref="A3:I3"/>
    <mergeCell ref="A6:I6"/>
    <mergeCell ref="A7:I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I1"/>
    </sheetView>
  </sheetViews>
  <sheetFormatPr baseColWidth="10" defaultColWidth="8.6640625" defaultRowHeight="15" x14ac:dyDescent="0.2"/>
  <cols>
    <col min="1" max="1" width="42" customWidth="1"/>
    <col min="2" max="2" width="8" customWidth="1"/>
    <col min="3" max="8" width="13" customWidth="1"/>
  </cols>
  <sheetData>
    <row r="1" spans="1:9" ht="17.2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15" customHeight="1" x14ac:dyDescent="0.2">
      <c r="A2" s="6" t="s">
        <v>93</v>
      </c>
      <c r="B2" s="6"/>
      <c r="C2" s="6"/>
      <c r="D2" s="6"/>
      <c r="E2" s="6"/>
      <c r="F2" s="6"/>
      <c r="G2" s="6"/>
      <c r="H2" s="6"/>
      <c r="I2" s="6"/>
    </row>
    <row r="3" spans="1:9" ht="15" customHeight="1" x14ac:dyDescent="0.2">
      <c r="A3" s="5" t="s">
        <v>94</v>
      </c>
      <c r="B3" s="5"/>
      <c r="C3" s="5"/>
      <c r="D3" s="5"/>
      <c r="E3" s="5"/>
      <c r="F3" s="5"/>
      <c r="G3" s="5"/>
      <c r="H3" s="5"/>
      <c r="I3" s="5"/>
    </row>
    <row r="5" spans="1:9" ht="15" customHeight="1" x14ac:dyDescent="0.2">
      <c r="A5" s="14" t="s">
        <v>25</v>
      </c>
      <c r="B5" s="14" t="s">
        <v>26</v>
      </c>
      <c r="C5" s="15"/>
      <c r="D5" s="16">
        <v>2020</v>
      </c>
      <c r="E5" s="16">
        <v>2021</v>
      </c>
      <c r="F5" s="16">
        <v>2022</v>
      </c>
      <c r="G5" s="16">
        <v>2023</v>
      </c>
      <c r="H5" s="16">
        <v>2024</v>
      </c>
      <c r="I5" s="16">
        <v>2025</v>
      </c>
    </row>
    <row r="6" spans="1:9" ht="15" customHeight="1" x14ac:dyDescent="0.2">
      <c r="A6" s="17" t="s">
        <v>95</v>
      </c>
      <c r="B6" s="18" t="s">
        <v>96</v>
      </c>
      <c r="D6" s="19">
        <v>1663261</v>
      </c>
      <c r="E6" s="19">
        <v>2102747</v>
      </c>
      <c r="F6" s="19">
        <v>2090683</v>
      </c>
      <c r="G6" s="19">
        <v>1992610</v>
      </c>
      <c r="H6" s="19">
        <v>2624541</v>
      </c>
      <c r="I6" s="19">
        <v>3474265</v>
      </c>
    </row>
    <row r="7" spans="1:9" ht="15" customHeight="1" x14ac:dyDescent="0.2">
      <c r="A7" s="17" t="s">
        <v>97</v>
      </c>
      <c r="B7" s="18" t="s">
        <v>98</v>
      </c>
      <c r="D7" s="19">
        <v>-866319</v>
      </c>
      <c r="E7" s="19">
        <v>-1101480</v>
      </c>
      <c r="F7" s="19">
        <v>-1205403</v>
      </c>
      <c r="G7" s="19">
        <v>-1324474</v>
      </c>
      <c r="H7" s="19">
        <v>-1708130</v>
      </c>
      <c r="I7" s="19">
        <v>-2104355</v>
      </c>
    </row>
    <row r="8" spans="1:9" ht="15" customHeight="1" x14ac:dyDescent="0.2">
      <c r="A8" s="21" t="s">
        <v>99</v>
      </c>
      <c r="B8" s="22"/>
      <c r="C8" s="23"/>
      <c r="D8" s="24">
        <f t="shared" ref="D8:I8" si="0">D6+D7</f>
        <v>796942</v>
      </c>
      <c r="E8" s="24">
        <f t="shared" si="0"/>
        <v>1001267</v>
      </c>
      <c r="F8" s="24">
        <f t="shared" si="0"/>
        <v>885280</v>
      </c>
      <c r="G8" s="24">
        <f t="shared" si="0"/>
        <v>668136</v>
      </c>
      <c r="H8" s="24">
        <f t="shared" si="0"/>
        <v>916411</v>
      </c>
      <c r="I8" s="24">
        <f t="shared" si="0"/>
        <v>1369910</v>
      </c>
    </row>
    <row r="10" spans="1:9" ht="15" customHeight="1" x14ac:dyDescent="0.2">
      <c r="A10" s="3" t="s">
        <v>100</v>
      </c>
      <c r="B10" s="3"/>
      <c r="C10" s="3"/>
      <c r="D10" s="3"/>
      <c r="E10" s="3"/>
      <c r="F10" s="3"/>
      <c r="G10" s="3"/>
      <c r="H10" s="3"/>
      <c r="I10" s="3"/>
    </row>
    <row r="11" spans="1:9" ht="15" customHeight="1" x14ac:dyDescent="0.2">
      <c r="A11" s="17" t="s">
        <v>101</v>
      </c>
      <c r="B11" s="18" t="s">
        <v>102</v>
      </c>
      <c r="D11" s="19">
        <v>-36080</v>
      </c>
      <c r="E11" s="19">
        <v>-54900</v>
      </c>
      <c r="F11" s="19">
        <v>-52160</v>
      </c>
      <c r="G11" s="19">
        <v>-53764</v>
      </c>
      <c r="H11" s="19">
        <v>-76754</v>
      </c>
      <c r="I11" s="19">
        <v>-107225</v>
      </c>
    </row>
    <row r="12" spans="1:9" ht="15" customHeight="1" x14ac:dyDescent="0.2">
      <c r="A12" s="17" t="s">
        <v>103</v>
      </c>
      <c r="B12" s="18" t="s">
        <v>104</v>
      </c>
      <c r="D12" s="19">
        <v>-128472</v>
      </c>
      <c r="E12" s="19">
        <v>-162202</v>
      </c>
      <c r="F12" s="19">
        <v>-159221</v>
      </c>
      <c r="G12" s="19">
        <v>-171810</v>
      </c>
      <c r="H12" s="19">
        <v>-200960</v>
      </c>
      <c r="I12" s="19">
        <v>-257099</v>
      </c>
    </row>
    <row r="13" spans="1:9" ht="15" customHeight="1" x14ac:dyDescent="0.2">
      <c r="A13" s="17" t="s">
        <v>105</v>
      </c>
      <c r="B13" s="18" t="s">
        <v>106</v>
      </c>
      <c r="D13" s="19">
        <v>7962</v>
      </c>
      <c r="E13" s="19">
        <v>17768</v>
      </c>
      <c r="F13" s="19">
        <v>12917</v>
      </c>
      <c r="G13" s="19">
        <v>24406</v>
      </c>
      <c r="H13" s="19">
        <v>21860</v>
      </c>
      <c r="I13" s="19">
        <v>29686</v>
      </c>
    </row>
    <row r="14" spans="1:9" ht="15" customHeight="1" x14ac:dyDescent="0.2">
      <c r="A14" s="17" t="s">
        <v>107</v>
      </c>
      <c r="B14" s="18" t="s">
        <v>106</v>
      </c>
      <c r="D14" s="19">
        <v>-4846</v>
      </c>
      <c r="E14" s="19">
        <v>-1118</v>
      </c>
      <c r="F14" s="19">
        <v>-53884</v>
      </c>
      <c r="G14" s="19">
        <v>-10612</v>
      </c>
      <c r="H14" s="19">
        <v>-8704</v>
      </c>
      <c r="I14" s="19">
        <v>-1012</v>
      </c>
    </row>
    <row r="15" spans="1:9" ht="15" customHeight="1" x14ac:dyDescent="0.2">
      <c r="A15" s="21" t="s">
        <v>108</v>
      </c>
      <c r="B15" s="22"/>
      <c r="C15" s="23"/>
      <c r="D15" s="24">
        <f t="shared" ref="D15:I15" si="1">D8+D11+D12+D13+D14</f>
        <v>635506</v>
      </c>
      <c r="E15" s="24">
        <f t="shared" si="1"/>
        <v>800815</v>
      </c>
      <c r="F15" s="24">
        <f t="shared" si="1"/>
        <v>632932</v>
      </c>
      <c r="G15" s="24">
        <f t="shared" si="1"/>
        <v>456356</v>
      </c>
      <c r="H15" s="24">
        <f t="shared" si="1"/>
        <v>651853</v>
      </c>
      <c r="I15" s="24">
        <f t="shared" si="1"/>
        <v>1034260</v>
      </c>
    </row>
    <row r="17" spans="1:9" ht="15" customHeight="1" x14ac:dyDescent="0.2">
      <c r="A17" s="17" t="s">
        <v>109</v>
      </c>
      <c r="B17" s="18" t="s">
        <v>110</v>
      </c>
      <c r="D17" s="19">
        <v>1597</v>
      </c>
      <c r="E17" s="19">
        <v>7062</v>
      </c>
      <c r="F17" s="19">
        <v>18351</v>
      </c>
      <c r="G17" s="19">
        <v>10004</v>
      </c>
      <c r="H17" s="19">
        <v>6774</v>
      </c>
      <c r="I17" s="19">
        <v>7256</v>
      </c>
    </row>
    <row r="18" spans="1:9" ht="15" customHeight="1" x14ac:dyDescent="0.2">
      <c r="A18" s="17" t="s">
        <v>111</v>
      </c>
      <c r="B18" s="18" t="s">
        <v>110</v>
      </c>
      <c r="D18" s="19">
        <v>-67901</v>
      </c>
      <c r="E18" s="19">
        <v>-7910</v>
      </c>
      <c r="F18" s="19">
        <v>-41060</v>
      </c>
      <c r="G18" s="19">
        <v>-22136</v>
      </c>
      <c r="H18" s="19">
        <v>-45309</v>
      </c>
      <c r="I18" s="19">
        <v>-28098</v>
      </c>
    </row>
    <row r="19" spans="1:9" ht="15" customHeight="1" x14ac:dyDescent="0.2">
      <c r="A19" s="21" t="s">
        <v>112</v>
      </c>
      <c r="B19" s="22"/>
      <c r="C19" s="23"/>
      <c r="D19" s="24">
        <f t="shared" ref="D19:I19" si="2">D17+D18</f>
        <v>-66304</v>
      </c>
      <c r="E19" s="24">
        <f t="shared" si="2"/>
        <v>-848</v>
      </c>
      <c r="F19" s="24">
        <f t="shared" si="2"/>
        <v>-22709</v>
      </c>
      <c r="G19" s="24">
        <f t="shared" si="2"/>
        <v>-12132</v>
      </c>
      <c r="H19" s="24">
        <f t="shared" si="2"/>
        <v>-38535</v>
      </c>
      <c r="I19" s="24">
        <f t="shared" si="2"/>
        <v>-20842</v>
      </c>
    </row>
    <row r="20" spans="1:9" ht="15" customHeight="1" x14ac:dyDescent="0.2">
      <c r="A20" s="21" t="s">
        <v>113</v>
      </c>
      <c r="B20" s="22"/>
      <c r="C20" s="23"/>
      <c r="D20" s="24">
        <f t="shared" ref="D20:I20" si="3">D15+D19</f>
        <v>569202</v>
      </c>
      <c r="E20" s="24">
        <f t="shared" si="3"/>
        <v>799967</v>
      </c>
      <c r="F20" s="24">
        <f t="shared" si="3"/>
        <v>610223</v>
      </c>
      <c r="G20" s="24">
        <f t="shared" si="3"/>
        <v>444224</v>
      </c>
      <c r="H20" s="24">
        <f t="shared" si="3"/>
        <v>613318</v>
      </c>
      <c r="I20" s="24">
        <f t="shared" si="3"/>
        <v>1013418</v>
      </c>
    </row>
    <row r="21" spans="1:9" ht="15" customHeight="1" x14ac:dyDescent="0.2">
      <c r="A21" s="17" t="s">
        <v>114</v>
      </c>
      <c r="B21" s="18" t="s">
        <v>115</v>
      </c>
      <c r="D21" s="19">
        <v>-183643</v>
      </c>
      <c r="E21" s="19">
        <v>-247175</v>
      </c>
      <c r="F21" s="19">
        <v>-202878</v>
      </c>
      <c r="G21" s="19">
        <v>-148560</v>
      </c>
      <c r="H21" s="19">
        <v>-198190</v>
      </c>
      <c r="I21" s="19">
        <v>-293511</v>
      </c>
    </row>
    <row r="22" spans="1:9" ht="15" customHeight="1" x14ac:dyDescent="0.2">
      <c r="A22" s="25" t="s">
        <v>116</v>
      </c>
      <c r="B22" s="26"/>
      <c r="C22" s="27"/>
      <c r="D22" s="28">
        <f t="shared" ref="D22:I22" si="4">D20+D21</f>
        <v>385559</v>
      </c>
      <c r="E22" s="28">
        <f t="shared" si="4"/>
        <v>552792</v>
      </c>
      <c r="F22" s="28">
        <f t="shared" si="4"/>
        <v>407345</v>
      </c>
      <c r="G22" s="28">
        <f t="shared" si="4"/>
        <v>295664</v>
      </c>
      <c r="H22" s="28">
        <f t="shared" si="4"/>
        <v>415128</v>
      </c>
      <c r="I22" s="28">
        <f t="shared" si="4"/>
        <v>719907</v>
      </c>
    </row>
    <row r="24" spans="1:9" ht="15" customHeight="1" x14ac:dyDescent="0.2">
      <c r="A24" s="17" t="s">
        <v>117</v>
      </c>
      <c r="B24" s="18" t="s">
        <v>118</v>
      </c>
      <c r="D24" s="31">
        <v>1.0620000000000001</v>
      </c>
      <c r="E24" s="31">
        <v>1.218</v>
      </c>
      <c r="F24" s="31">
        <v>0.89800000000000002</v>
      </c>
      <c r="G24" s="31">
        <v>0.49299999999999999</v>
      </c>
      <c r="H24" s="31">
        <v>0.51900000000000002</v>
      </c>
      <c r="I24" s="31">
        <v>0.72</v>
      </c>
    </row>
    <row r="26" spans="1:9" ht="15" customHeight="1" x14ac:dyDescent="0.2">
      <c r="A26" s="2" t="s">
        <v>119</v>
      </c>
      <c r="B26" s="2"/>
      <c r="C26" s="2"/>
      <c r="D26" s="2"/>
      <c r="E26" s="2"/>
      <c r="F26" s="2"/>
      <c r="G26" s="2"/>
      <c r="H26" s="2"/>
      <c r="I26" s="2"/>
    </row>
    <row r="27" spans="1:9" ht="15" customHeight="1" x14ac:dyDescent="0.2">
      <c r="A27" s="2" t="s">
        <v>120</v>
      </c>
      <c r="B27" s="2"/>
      <c r="C27" s="2"/>
      <c r="D27" s="2"/>
      <c r="E27" s="2"/>
      <c r="F27" s="2"/>
      <c r="G27" s="2"/>
      <c r="H27" s="2"/>
      <c r="I27" s="2"/>
    </row>
  </sheetData>
  <mergeCells count="6">
    <mergeCell ref="A27:I27"/>
    <mergeCell ref="A1:I1"/>
    <mergeCell ref="A2:I2"/>
    <mergeCell ref="A3:I3"/>
    <mergeCell ref="A10:I10"/>
    <mergeCell ref="A26:I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I1"/>
    </sheetView>
  </sheetViews>
  <sheetFormatPr baseColWidth="10" defaultColWidth="8.6640625" defaultRowHeight="15" x14ac:dyDescent="0.2"/>
  <cols>
    <col min="1" max="1" width="42" customWidth="1"/>
    <col min="2" max="2" width="8" customWidth="1"/>
    <col min="3" max="8" width="13" customWidth="1"/>
  </cols>
  <sheetData>
    <row r="1" spans="1:9" ht="17.2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15" customHeight="1" x14ac:dyDescent="0.2">
      <c r="A2" s="6" t="s">
        <v>121</v>
      </c>
      <c r="B2" s="6"/>
      <c r="C2" s="6"/>
      <c r="D2" s="6"/>
      <c r="E2" s="6"/>
      <c r="F2" s="6"/>
      <c r="G2" s="6"/>
      <c r="H2" s="6"/>
      <c r="I2" s="6"/>
    </row>
    <row r="3" spans="1:9" ht="15" customHeight="1" x14ac:dyDescent="0.2">
      <c r="A3" s="5" t="s">
        <v>122</v>
      </c>
      <c r="B3" s="5"/>
      <c r="C3" s="5"/>
      <c r="D3" s="5"/>
      <c r="E3" s="5"/>
      <c r="F3" s="5"/>
      <c r="G3" s="5"/>
      <c r="H3" s="5"/>
      <c r="I3" s="5"/>
    </row>
    <row r="5" spans="1:9" ht="15" customHeight="1" x14ac:dyDescent="0.2">
      <c r="A5" s="14" t="s">
        <v>25</v>
      </c>
      <c r="B5" s="14" t="s">
        <v>26</v>
      </c>
      <c r="C5" s="15"/>
      <c r="D5" s="16">
        <v>2020</v>
      </c>
      <c r="E5" s="16">
        <v>2021</v>
      </c>
      <c r="F5" s="16">
        <v>2022</v>
      </c>
      <c r="G5" s="16">
        <v>2023</v>
      </c>
      <c r="H5" s="16">
        <v>2024</v>
      </c>
      <c r="I5" s="16">
        <v>2025</v>
      </c>
    </row>
    <row r="6" spans="1:9" ht="15" customHeight="1" x14ac:dyDescent="0.2">
      <c r="A6" s="3" t="s">
        <v>123</v>
      </c>
      <c r="B6" s="3"/>
      <c r="C6" s="3"/>
      <c r="D6" s="3"/>
      <c r="E6" s="3"/>
      <c r="F6" s="3"/>
      <c r="G6" s="3"/>
      <c r="H6" s="3"/>
      <c r="I6" s="3"/>
    </row>
    <row r="7" spans="1:9" ht="15" customHeight="1" x14ac:dyDescent="0.2">
      <c r="A7" s="17" t="s">
        <v>124</v>
      </c>
      <c r="B7" s="32"/>
      <c r="D7" s="19">
        <v>966909</v>
      </c>
      <c r="E7" s="20">
        <f>D11</f>
        <v>1196378</v>
      </c>
      <c r="F7" s="20">
        <f>E11</f>
        <v>1517920</v>
      </c>
      <c r="G7" s="20">
        <f>F11</f>
        <v>1594982</v>
      </c>
      <c r="H7" s="20">
        <f>G11</f>
        <v>1645610</v>
      </c>
      <c r="I7" s="20">
        <f>H11</f>
        <v>1883522</v>
      </c>
    </row>
    <row r="8" spans="1:9" ht="15" customHeight="1" x14ac:dyDescent="0.2">
      <c r="A8" s="17" t="s">
        <v>125</v>
      </c>
      <c r="B8" s="32"/>
      <c r="D8" s="19">
        <v>385559</v>
      </c>
      <c r="E8" s="19">
        <v>552792</v>
      </c>
      <c r="F8" s="19">
        <v>407345</v>
      </c>
      <c r="G8" s="19">
        <v>295664</v>
      </c>
      <c r="H8" s="19">
        <v>415128</v>
      </c>
      <c r="I8" s="19">
        <v>719907</v>
      </c>
    </row>
    <row r="9" spans="1:9" ht="15" customHeight="1" x14ac:dyDescent="0.2">
      <c r="A9" s="17" t="s">
        <v>126</v>
      </c>
      <c r="B9" s="32"/>
      <c r="D9" s="19">
        <v>-156090</v>
      </c>
      <c r="E9" s="19">
        <v>-231263</v>
      </c>
      <c r="F9" s="19">
        <v>-330660</v>
      </c>
      <c r="G9" s="19">
        <v>-245036</v>
      </c>
      <c r="H9" s="19">
        <v>-177216</v>
      </c>
      <c r="I9" s="19">
        <v>-396450</v>
      </c>
    </row>
    <row r="10" spans="1:9" ht="34.5" customHeight="1" x14ac:dyDescent="0.2">
      <c r="A10" s="33" t="s">
        <v>127</v>
      </c>
      <c r="B10" s="32"/>
      <c r="D10" s="20">
        <f t="shared" ref="D10:I10" si="0">D11-D7-D8-D9</f>
        <v>0</v>
      </c>
      <c r="E10" s="20">
        <f t="shared" si="0"/>
        <v>13</v>
      </c>
      <c r="F10" s="20">
        <f t="shared" si="0"/>
        <v>377</v>
      </c>
      <c r="G10" s="20">
        <f t="shared" si="0"/>
        <v>0</v>
      </c>
      <c r="H10" s="20">
        <f t="shared" si="0"/>
        <v>0</v>
      </c>
      <c r="I10" s="20">
        <f t="shared" si="0"/>
        <v>0</v>
      </c>
    </row>
    <row r="11" spans="1:9" ht="15" customHeight="1" x14ac:dyDescent="0.2">
      <c r="A11" s="21" t="s">
        <v>128</v>
      </c>
      <c r="B11" s="22"/>
      <c r="C11" s="23"/>
      <c r="D11" s="34">
        <f>ESF!D51</f>
        <v>1196378</v>
      </c>
      <c r="E11" s="34">
        <f>ESF!E51</f>
        <v>1517920</v>
      </c>
      <c r="F11" s="34">
        <f>ESF!F51</f>
        <v>1594982</v>
      </c>
      <c r="G11" s="34">
        <f>ESF!G51</f>
        <v>1645610</v>
      </c>
      <c r="H11" s="34">
        <f>ESF!H51</f>
        <v>1883522</v>
      </c>
      <c r="I11" s="34">
        <f>ESF!I51</f>
        <v>2206979</v>
      </c>
    </row>
    <row r="13" spans="1:9" ht="15" customHeight="1" x14ac:dyDescent="0.2">
      <c r="A13" s="3" t="s">
        <v>129</v>
      </c>
      <c r="B13" s="3"/>
      <c r="C13" s="3"/>
      <c r="D13" s="3"/>
      <c r="E13" s="3"/>
      <c r="F13" s="3"/>
      <c r="G13" s="3"/>
      <c r="H13" s="3"/>
      <c r="I13" s="3"/>
    </row>
    <row r="14" spans="1:9" ht="15" customHeight="1" x14ac:dyDescent="0.2">
      <c r="A14" s="17" t="s">
        <v>82</v>
      </c>
      <c r="B14" s="18" t="s">
        <v>83</v>
      </c>
      <c r="D14" s="19">
        <v>363000</v>
      </c>
      <c r="E14" s="19">
        <v>453750</v>
      </c>
      <c r="F14" s="19">
        <v>453750</v>
      </c>
      <c r="G14" s="19">
        <v>600000</v>
      </c>
      <c r="H14" s="19">
        <v>800000</v>
      </c>
      <c r="I14" s="19">
        <v>1000000</v>
      </c>
    </row>
    <row r="15" spans="1:9" ht="15" customHeight="1" x14ac:dyDescent="0.2">
      <c r="A15" s="17" t="s">
        <v>84</v>
      </c>
      <c r="B15" s="18" t="s">
        <v>85</v>
      </c>
      <c r="D15" s="19">
        <v>72600</v>
      </c>
      <c r="E15" s="19">
        <v>90750</v>
      </c>
      <c r="F15" s="19">
        <v>90750</v>
      </c>
      <c r="G15" s="19">
        <v>120000</v>
      </c>
      <c r="H15" s="19">
        <v>160000</v>
      </c>
      <c r="I15" s="19">
        <v>200000</v>
      </c>
    </row>
    <row r="16" spans="1:9" ht="15" customHeight="1" x14ac:dyDescent="0.2">
      <c r="A16" s="17" t="s">
        <v>86</v>
      </c>
      <c r="B16" s="18" t="s">
        <v>87</v>
      </c>
      <c r="D16" s="19">
        <v>760778</v>
      </c>
      <c r="E16" s="19">
        <v>973420</v>
      </c>
      <c r="F16" s="19">
        <v>1050482</v>
      </c>
      <c r="G16" s="19">
        <v>925610</v>
      </c>
      <c r="H16" s="19">
        <v>923522</v>
      </c>
      <c r="I16" s="19">
        <v>1006979</v>
      </c>
    </row>
    <row r="17" spans="1:9" ht="15" customHeight="1" x14ac:dyDescent="0.2">
      <c r="A17" s="21" t="s">
        <v>130</v>
      </c>
      <c r="B17" s="22"/>
      <c r="C17" s="23"/>
      <c r="D17" s="24">
        <f t="shared" ref="D17:I17" si="1">D14+D15+D16</f>
        <v>1196378</v>
      </c>
      <c r="E17" s="24">
        <f t="shared" si="1"/>
        <v>1517920</v>
      </c>
      <c r="F17" s="24">
        <f t="shared" si="1"/>
        <v>1594982</v>
      </c>
      <c r="G17" s="24">
        <f t="shared" si="1"/>
        <v>1645610</v>
      </c>
      <c r="H17" s="24">
        <f t="shared" si="1"/>
        <v>1883522</v>
      </c>
      <c r="I17" s="24">
        <f t="shared" si="1"/>
        <v>2206979</v>
      </c>
    </row>
    <row r="18" spans="1:9" ht="15" customHeight="1" x14ac:dyDescent="0.2">
      <c r="A18" s="29" t="s">
        <v>131</v>
      </c>
      <c r="D18" s="30">
        <f t="shared" ref="D18:I18" si="2">D11-D17</f>
        <v>0</v>
      </c>
      <c r="E18" s="30">
        <f t="shared" si="2"/>
        <v>0</v>
      </c>
      <c r="F18" s="30">
        <f t="shared" si="2"/>
        <v>0</v>
      </c>
      <c r="G18" s="30">
        <f t="shared" si="2"/>
        <v>0</v>
      </c>
      <c r="H18" s="30">
        <f t="shared" si="2"/>
        <v>0</v>
      </c>
      <c r="I18" s="30">
        <f t="shared" si="2"/>
        <v>0</v>
      </c>
    </row>
    <row r="20" spans="1:9" ht="15" customHeight="1" x14ac:dyDescent="0.2">
      <c r="A20" s="17" t="s">
        <v>132</v>
      </c>
      <c r="B20" s="18" t="s">
        <v>83</v>
      </c>
      <c r="D20" s="35">
        <v>363000000</v>
      </c>
      <c r="E20" s="35">
        <v>453750000</v>
      </c>
      <c r="F20" s="35">
        <v>453750000</v>
      </c>
      <c r="G20" s="35">
        <v>600000000</v>
      </c>
      <c r="H20" s="35">
        <v>800000000</v>
      </c>
      <c r="I20" s="35">
        <v>1000000000</v>
      </c>
    </row>
    <row r="22" spans="1:9" ht="15" customHeight="1" x14ac:dyDescent="0.2">
      <c r="A22" s="2" t="s">
        <v>133</v>
      </c>
      <c r="B22" s="2"/>
      <c r="C22" s="2"/>
      <c r="D22" s="2"/>
      <c r="E22" s="2"/>
      <c r="F22" s="2"/>
      <c r="G22" s="2"/>
      <c r="H22" s="2"/>
      <c r="I22" s="2"/>
    </row>
    <row r="23" spans="1:9" ht="15" customHeight="1" x14ac:dyDescent="0.2">
      <c r="A23" s="2" t="s">
        <v>134</v>
      </c>
      <c r="B23" s="2"/>
      <c r="C23" s="2"/>
      <c r="D23" s="2"/>
      <c r="E23" s="2"/>
      <c r="F23" s="2"/>
      <c r="G23" s="2"/>
      <c r="H23" s="2"/>
      <c r="I23" s="2"/>
    </row>
  </sheetData>
  <mergeCells count="7">
    <mergeCell ref="A22:I22"/>
    <mergeCell ref="A23:I23"/>
    <mergeCell ref="A1:I1"/>
    <mergeCell ref="A2:I2"/>
    <mergeCell ref="A3:I3"/>
    <mergeCell ref="A6:I6"/>
    <mergeCell ref="A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8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I1"/>
    </sheetView>
  </sheetViews>
  <sheetFormatPr baseColWidth="10" defaultColWidth="8.6640625" defaultRowHeight="15" x14ac:dyDescent="0.2"/>
  <cols>
    <col min="1" max="1" width="46" customWidth="1"/>
    <col min="2" max="2" width="8" customWidth="1"/>
    <col min="3" max="8" width="13" customWidth="1"/>
  </cols>
  <sheetData>
    <row r="1" spans="1:9" ht="17.2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15" customHeight="1" x14ac:dyDescent="0.2">
      <c r="A2" s="6" t="s">
        <v>135</v>
      </c>
      <c r="B2" s="6"/>
      <c r="C2" s="6"/>
      <c r="D2" s="6"/>
      <c r="E2" s="6"/>
      <c r="F2" s="6"/>
      <c r="G2" s="6"/>
      <c r="H2" s="6"/>
      <c r="I2" s="6"/>
    </row>
    <row r="3" spans="1:9" ht="15" customHeight="1" x14ac:dyDescent="0.2">
      <c r="A3" s="5" t="s">
        <v>136</v>
      </c>
      <c r="B3" s="5"/>
      <c r="C3" s="5"/>
      <c r="D3" s="5"/>
      <c r="E3" s="5"/>
      <c r="F3" s="5"/>
      <c r="G3" s="5"/>
      <c r="H3" s="5"/>
      <c r="I3" s="5"/>
    </row>
    <row r="5" spans="1:9" ht="15" customHeight="1" x14ac:dyDescent="0.2">
      <c r="A5" s="14" t="s">
        <v>25</v>
      </c>
      <c r="B5" s="14" t="s">
        <v>26</v>
      </c>
      <c r="C5" s="15"/>
      <c r="D5" s="16">
        <v>2020</v>
      </c>
      <c r="E5" s="16">
        <v>2021</v>
      </c>
      <c r="F5" s="16">
        <v>2022</v>
      </c>
      <c r="G5" s="16">
        <v>2023</v>
      </c>
      <c r="H5" s="16">
        <v>2024</v>
      </c>
      <c r="I5" s="16">
        <v>2025</v>
      </c>
    </row>
    <row r="6" spans="1:9" ht="15" customHeight="1" x14ac:dyDescent="0.2">
      <c r="A6" s="4" t="s">
        <v>137</v>
      </c>
      <c r="B6" s="4"/>
      <c r="C6" s="4"/>
      <c r="D6" s="4"/>
      <c r="E6" s="4"/>
      <c r="F6" s="4"/>
      <c r="G6" s="4"/>
      <c r="H6" s="4"/>
      <c r="I6" s="4"/>
    </row>
    <row r="7" spans="1:9" ht="15" customHeight="1" x14ac:dyDescent="0.2">
      <c r="A7" s="17" t="s">
        <v>138</v>
      </c>
      <c r="B7" s="32"/>
      <c r="D7" s="19">
        <v>385559</v>
      </c>
      <c r="E7" s="19">
        <v>552792</v>
      </c>
      <c r="F7" s="19">
        <v>407345</v>
      </c>
      <c r="G7" s="19">
        <v>295664</v>
      </c>
      <c r="H7" s="19">
        <v>415128</v>
      </c>
      <c r="I7" s="19">
        <v>719907</v>
      </c>
    </row>
    <row r="8" spans="1:9" ht="15" customHeight="1" x14ac:dyDescent="0.2">
      <c r="A8" s="3" t="s">
        <v>139</v>
      </c>
      <c r="B8" s="3"/>
      <c r="C8" s="3"/>
      <c r="D8" s="3"/>
      <c r="E8" s="3"/>
      <c r="F8" s="3"/>
      <c r="G8" s="3"/>
      <c r="H8" s="3"/>
      <c r="I8" s="3"/>
    </row>
    <row r="9" spans="1:9" ht="15" customHeight="1" x14ac:dyDescent="0.2">
      <c r="A9" s="17" t="s">
        <v>140</v>
      </c>
      <c r="B9" s="18" t="s">
        <v>141</v>
      </c>
      <c r="D9" s="19">
        <v>34688</v>
      </c>
      <c r="E9" s="19">
        <v>43070</v>
      </c>
      <c r="F9" s="19">
        <v>46958</v>
      </c>
      <c r="G9" s="19">
        <v>45573</v>
      </c>
      <c r="H9" s="19">
        <v>55153</v>
      </c>
      <c r="I9" s="19">
        <v>64781</v>
      </c>
    </row>
    <row r="10" spans="1:9" ht="15" customHeight="1" x14ac:dyDescent="0.2">
      <c r="A10" s="17" t="s">
        <v>142</v>
      </c>
      <c r="B10" s="18" t="s">
        <v>53</v>
      </c>
      <c r="D10" s="19">
        <v>208294</v>
      </c>
      <c r="E10" s="19">
        <v>210130</v>
      </c>
      <c r="F10" s="19">
        <v>221408</v>
      </c>
      <c r="G10" s="19">
        <v>233915</v>
      </c>
      <c r="H10" s="19">
        <v>298798</v>
      </c>
      <c r="I10" s="19">
        <v>378608</v>
      </c>
    </row>
    <row r="11" spans="1:9" ht="15" customHeight="1" x14ac:dyDescent="0.2">
      <c r="A11" s="17" t="s">
        <v>143</v>
      </c>
      <c r="B11" s="18" t="s">
        <v>39</v>
      </c>
      <c r="D11" s="20"/>
      <c r="E11" s="20"/>
      <c r="F11" s="20"/>
      <c r="G11" s="20"/>
      <c r="H11" s="20"/>
      <c r="I11" s="19">
        <v>240</v>
      </c>
    </row>
    <row r="12" spans="1:9" ht="15" customHeight="1" x14ac:dyDescent="0.2">
      <c r="A12" s="17" t="s">
        <v>144</v>
      </c>
      <c r="B12" s="18" t="s">
        <v>35</v>
      </c>
      <c r="D12" s="19">
        <v>1398</v>
      </c>
      <c r="E12" s="19">
        <v>1063</v>
      </c>
      <c r="F12" s="19">
        <v>411</v>
      </c>
      <c r="G12" s="19">
        <v>480</v>
      </c>
      <c r="H12" s="19">
        <v>132</v>
      </c>
      <c r="I12" s="19">
        <v>76</v>
      </c>
    </row>
    <row r="13" spans="1:9" ht="15" customHeight="1" x14ac:dyDescent="0.2">
      <c r="A13" s="17" t="s">
        <v>145</v>
      </c>
      <c r="B13" s="18" t="s">
        <v>35</v>
      </c>
      <c r="D13" s="20"/>
      <c r="E13" s="20"/>
      <c r="F13" s="19">
        <v>-26</v>
      </c>
      <c r="G13" s="19">
        <v>-9</v>
      </c>
      <c r="H13" s="19">
        <v>-32</v>
      </c>
      <c r="I13" s="20"/>
    </row>
    <row r="14" spans="1:9" ht="15" customHeight="1" x14ac:dyDescent="0.2">
      <c r="A14" s="17" t="s">
        <v>146</v>
      </c>
      <c r="B14" s="18" t="s">
        <v>71</v>
      </c>
      <c r="D14" s="19">
        <v>1549</v>
      </c>
      <c r="E14" s="19">
        <v>-1049</v>
      </c>
      <c r="F14" s="19">
        <v>553</v>
      </c>
      <c r="G14" s="19">
        <v>657</v>
      </c>
      <c r="H14" s="19">
        <v>934</v>
      </c>
      <c r="I14" s="19">
        <v>769</v>
      </c>
    </row>
    <row r="15" spans="1:9" ht="15" customHeight="1" x14ac:dyDescent="0.2">
      <c r="A15" s="17" t="s">
        <v>147</v>
      </c>
      <c r="B15" s="18" t="s">
        <v>78</v>
      </c>
      <c r="D15" s="19">
        <v>-2650</v>
      </c>
      <c r="E15" s="19">
        <v>-6045</v>
      </c>
      <c r="F15" s="19">
        <v>6652</v>
      </c>
      <c r="G15" s="19">
        <v>21793</v>
      </c>
      <c r="H15" s="19">
        <v>30848</v>
      </c>
      <c r="I15" s="19">
        <v>-28835</v>
      </c>
    </row>
    <row r="16" spans="1:9" ht="15" customHeight="1" x14ac:dyDescent="0.2">
      <c r="A16" s="17" t="s">
        <v>148</v>
      </c>
      <c r="B16" s="18" t="s">
        <v>73</v>
      </c>
      <c r="D16" s="19">
        <v>873</v>
      </c>
      <c r="E16" s="19">
        <v>877</v>
      </c>
      <c r="F16" s="19">
        <v>1490</v>
      </c>
      <c r="G16" s="19">
        <v>3784</v>
      </c>
      <c r="H16" s="19">
        <v>4924</v>
      </c>
      <c r="I16" s="19">
        <v>3569</v>
      </c>
    </row>
    <row r="17" spans="1:9" ht="15" customHeight="1" x14ac:dyDescent="0.2">
      <c r="A17" s="17" t="s">
        <v>149</v>
      </c>
      <c r="B17" s="18" t="s">
        <v>106</v>
      </c>
      <c r="D17" s="19">
        <v>4846</v>
      </c>
      <c r="E17" s="19">
        <v>1118</v>
      </c>
      <c r="F17" s="19">
        <v>52337</v>
      </c>
      <c r="G17" s="19">
        <v>10125</v>
      </c>
      <c r="H17" s="19">
        <v>7900</v>
      </c>
      <c r="I17" s="19">
        <v>150</v>
      </c>
    </row>
    <row r="18" spans="1:9" ht="15" customHeight="1" x14ac:dyDescent="0.2">
      <c r="A18" s="17" t="s">
        <v>150</v>
      </c>
      <c r="B18" s="18" t="s">
        <v>151</v>
      </c>
      <c r="D18" s="20"/>
      <c r="E18" s="20"/>
      <c r="F18" s="20"/>
      <c r="G18" s="20"/>
      <c r="H18" s="20"/>
      <c r="I18" s="19">
        <v>-247</v>
      </c>
    </row>
    <row r="19" spans="1:9" ht="15" customHeight="1" x14ac:dyDescent="0.2">
      <c r="A19" s="17" t="s">
        <v>152</v>
      </c>
      <c r="B19" s="18" t="s">
        <v>115</v>
      </c>
      <c r="D19" s="19">
        <v>186293</v>
      </c>
      <c r="E19" s="19">
        <v>253220</v>
      </c>
      <c r="F19" s="19">
        <v>196226</v>
      </c>
      <c r="G19" s="19">
        <v>126767</v>
      </c>
      <c r="H19" s="19">
        <v>167342</v>
      </c>
      <c r="I19" s="19">
        <v>322346</v>
      </c>
    </row>
    <row r="20" spans="1:9" ht="15" customHeight="1" x14ac:dyDescent="0.2">
      <c r="A20" s="17" t="s">
        <v>153</v>
      </c>
      <c r="B20" s="18" t="s">
        <v>154</v>
      </c>
      <c r="D20" s="19">
        <v>-584</v>
      </c>
      <c r="E20" s="19">
        <v>-5941</v>
      </c>
      <c r="F20" s="19">
        <v>33899</v>
      </c>
      <c r="G20" s="19">
        <v>3854</v>
      </c>
      <c r="H20" s="19">
        <v>4368</v>
      </c>
      <c r="I20" s="19">
        <v>-21980</v>
      </c>
    </row>
    <row r="21" spans="1:9" ht="15" customHeight="1" x14ac:dyDescent="0.2">
      <c r="A21" s="17" t="s">
        <v>155</v>
      </c>
      <c r="B21" s="18" t="s">
        <v>110</v>
      </c>
      <c r="D21" s="19">
        <v>6182</v>
      </c>
      <c r="E21" s="19">
        <v>5264</v>
      </c>
      <c r="F21" s="19">
        <v>1512</v>
      </c>
      <c r="G21" s="19">
        <v>4494</v>
      </c>
      <c r="H21" s="19">
        <v>29243</v>
      </c>
      <c r="I21" s="19">
        <v>9413</v>
      </c>
    </row>
    <row r="22" spans="1:9" ht="15" customHeight="1" x14ac:dyDescent="0.2">
      <c r="A22" s="3" t="s">
        <v>156</v>
      </c>
      <c r="B22" s="3"/>
      <c r="C22" s="3"/>
      <c r="D22" s="3"/>
      <c r="E22" s="3"/>
      <c r="F22" s="3"/>
      <c r="G22" s="3"/>
      <c r="H22" s="3"/>
      <c r="I22" s="3"/>
    </row>
    <row r="23" spans="1:9" ht="15" customHeight="1" x14ac:dyDescent="0.2">
      <c r="A23" s="17" t="s">
        <v>157</v>
      </c>
      <c r="B23" s="18" t="s">
        <v>33</v>
      </c>
      <c r="D23" s="19">
        <v>-3165</v>
      </c>
      <c r="E23" s="19">
        <v>2605</v>
      </c>
      <c r="F23" s="19">
        <v>-2447</v>
      </c>
      <c r="G23" s="19">
        <v>-1998</v>
      </c>
      <c r="H23" s="19">
        <v>-4665</v>
      </c>
      <c r="I23" s="19">
        <v>-14988</v>
      </c>
    </row>
    <row r="24" spans="1:9" ht="15" customHeight="1" x14ac:dyDescent="0.2">
      <c r="A24" s="17" t="s">
        <v>158</v>
      </c>
      <c r="B24" s="18" t="s">
        <v>35</v>
      </c>
      <c r="D24" s="19">
        <v>7030</v>
      </c>
      <c r="E24" s="19">
        <v>96</v>
      </c>
      <c r="F24" s="19">
        <v>-50816</v>
      </c>
      <c r="G24" s="19">
        <v>-26070</v>
      </c>
      <c r="H24" s="19">
        <v>-16591</v>
      </c>
      <c r="I24" s="19">
        <v>15467</v>
      </c>
    </row>
    <row r="25" spans="1:9" ht="15" customHeight="1" x14ac:dyDescent="0.2">
      <c r="A25" s="17" t="s">
        <v>159</v>
      </c>
      <c r="B25" s="18" t="s">
        <v>39</v>
      </c>
      <c r="D25" s="19">
        <v>-5731</v>
      </c>
      <c r="E25" s="19">
        <v>-9772</v>
      </c>
      <c r="F25" s="19">
        <v>-10688</v>
      </c>
      <c r="G25" s="19">
        <v>2274</v>
      </c>
      <c r="H25" s="19">
        <v>-29349</v>
      </c>
      <c r="I25" s="19">
        <v>-5480</v>
      </c>
    </row>
    <row r="26" spans="1:9" ht="15" customHeight="1" x14ac:dyDescent="0.2">
      <c r="A26" s="17" t="s">
        <v>160</v>
      </c>
      <c r="B26" s="18" t="s">
        <v>41</v>
      </c>
      <c r="D26" s="19">
        <v>-377</v>
      </c>
      <c r="E26" s="19">
        <v>7950</v>
      </c>
      <c r="F26" s="19">
        <v>2503</v>
      </c>
      <c r="G26" s="19">
        <v>987</v>
      </c>
      <c r="H26" s="19">
        <v>2843</v>
      </c>
      <c r="I26" s="19">
        <v>-4945</v>
      </c>
    </row>
    <row r="27" spans="1:9" ht="15" customHeight="1" x14ac:dyDescent="0.2">
      <c r="A27" s="17" t="s">
        <v>161</v>
      </c>
      <c r="B27" s="18" t="s">
        <v>59</v>
      </c>
      <c r="D27" s="19">
        <v>14628</v>
      </c>
      <c r="E27" s="19">
        <v>433</v>
      </c>
      <c r="F27" s="19">
        <v>17352</v>
      </c>
      <c r="G27" s="19">
        <v>50277</v>
      </c>
      <c r="H27" s="19">
        <v>11529</v>
      </c>
      <c r="I27" s="19">
        <v>81727</v>
      </c>
    </row>
    <row r="28" spans="1:9" ht="15" customHeight="1" x14ac:dyDescent="0.2">
      <c r="A28" s="17" t="s">
        <v>162</v>
      </c>
      <c r="B28" s="32"/>
      <c r="D28" s="19">
        <v>52669</v>
      </c>
      <c r="E28" s="19">
        <v>57757</v>
      </c>
      <c r="F28" s="19">
        <v>-42242</v>
      </c>
      <c r="G28" s="19">
        <v>39740</v>
      </c>
      <c r="H28" s="19">
        <v>-11936</v>
      </c>
      <c r="I28" s="19">
        <v>68946</v>
      </c>
    </row>
    <row r="29" spans="1:9" ht="15" customHeight="1" x14ac:dyDescent="0.2">
      <c r="A29" s="17" t="s">
        <v>163</v>
      </c>
      <c r="B29" s="18" t="s">
        <v>73</v>
      </c>
      <c r="D29" s="19">
        <v>-369</v>
      </c>
      <c r="E29" s="19">
        <v>-5024</v>
      </c>
      <c r="F29" s="19">
        <v>-3002</v>
      </c>
      <c r="G29" s="19">
        <v>-880</v>
      </c>
      <c r="H29" s="19">
        <v>-1159</v>
      </c>
      <c r="I29" s="19">
        <v>-5315</v>
      </c>
    </row>
    <row r="30" spans="1:9" ht="15" customHeight="1" x14ac:dyDescent="0.2">
      <c r="A30" s="21" t="s">
        <v>164</v>
      </c>
      <c r="B30" s="22"/>
      <c r="C30" s="23"/>
      <c r="D30" s="24">
        <f t="shared" ref="D30:I30" si="0">D7+D9+D10+D11+D12+D13+D14+D15+D16+D17+D18+D19+D20+D21+D23+D24+D25+D26+D27+D28+D29</f>
        <v>891133</v>
      </c>
      <c r="E30" s="24">
        <f t="shared" si="0"/>
        <v>1108544</v>
      </c>
      <c r="F30" s="24">
        <f t="shared" si="0"/>
        <v>879425</v>
      </c>
      <c r="G30" s="24">
        <f t="shared" si="0"/>
        <v>811427</v>
      </c>
      <c r="H30" s="24">
        <f t="shared" si="0"/>
        <v>965410</v>
      </c>
      <c r="I30" s="24">
        <f t="shared" si="0"/>
        <v>1584209</v>
      </c>
    </row>
    <row r="31" spans="1:9" ht="15" customHeight="1" x14ac:dyDescent="0.2">
      <c r="A31" s="17" t="s">
        <v>165</v>
      </c>
      <c r="B31" s="32"/>
      <c r="D31" s="19">
        <v>-6623</v>
      </c>
      <c r="E31" s="19">
        <v>-6183</v>
      </c>
      <c r="F31" s="19">
        <v>-4881</v>
      </c>
      <c r="G31" s="19">
        <v>-8827</v>
      </c>
      <c r="H31" s="19">
        <v>-11459</v>
      </c>
      <c r="I31" s="19">
        <v>-10225</v>
      </c>
    </row>
    <row r="32" spans="1:9" ht="15" customHeight="1" x14ac:dyDescent="0.2">
      <c r="A32" s="17" t="s">
        <v>166</v>
      </c>
      <c r="B32" s="32"/>
      <c r="D32" s="19">
        <v>-166194</v>
      </c>
      <c r="E32" s="19">
        <v>-240251</v>
      </c>
      <c r="F32" s="19">
        <v>-198988</v>
      </c>
      <c r="G32" s="19">
        <v>-183674</v>
      </c>
      <c r="H32" s="19">
        <v>-135635</v>
      </c>
      <c r="I32" s="19">
        <v>-254824</v>
      </c>
    </row>
    <row r="33" spans="1:9" ht="15" customHeight="1" x14ac:dyDescent="0.2">
      <c r="A33" s="25" t="s">
        <v>167</v>
      </c>
      <c r="B33" s="26"/>
      <c r="C33" s="27"/>
      <c r="D33" s="28">
        <f t="shared" ref="D33:I33" si="1">D30+D31+D32</f>
        <v>718316</v>
      </c>
      <c r="E33" s="28">
        <f t="shared" si="1"/>
        <v>862110</v>
      </c>
      <c r="F33" s="28">
        <f t="shared" si="1"/>
        <v>675556</v>
      </c>
      <c r="G33" s="28">
        <f t="shared" si="1"/>
        <v>618926</v>
      </c>
      <c r="H33" s="28">
        <f t="shared" si="1"/>
        <v>818316</v>
      </c>
      <c r="I33" s="28">
        <f t="shared" si="1"/>
        <v>1319160</v>
      </c>
    </row>
    <row r="35" spans="1:9" ht="15" customHeight="1" x14ac:dyDescent="0.2">
      <c r="A35" s="4" t="s">
        <v>168</v>
      </c>
      <c r="B35" s="4"/>
      <c r="C35" s="4"/>
      <c r="D35" s="4"/>
      <c r="E35" s="4"/>
      <c r="F35" s="4"/>
      <c r="G35" s="4"/>
      <c r="H35" s="4"/>
      <c r="I35" s="4"/>
    </row>
    <row r="36" spans="1:9" ht="15" customHeight="1" x14ac:dyDescent="0.2">
      <c r="A36" s="17" t="s">
        <v>169</v>
      </c>
      <c r="B36" s="18" t="s">
        <v>30</v>
      </c>
      <c r="D36" s="20"/>
      <c r="E36" s="20"/>
      <c r="F36" s="20"/>
      <c r="G36" s="19">
        <v>171900</v>
      </c>
      <c r="H36" s="20"/>
      <c r="I36" s="20"/>
    </row>
    <row r="37" spans="1:9" ht="15" customHeight="1" x14ac:dyDescent="0.2">
      <c r="A37" s="17" t="s">
        <v>170</v>
      </c>
      <c r="B37" s="18" t="s">
        <v>30</v>
      </c>
      <c r="D37" s="20"/>
      <c r="E37" s="20"/>
      <c r="F37" s="19">
        <v>-171900</v>
      </c>
      <c r="G37" s="20"/>
      <c r="H37" s="20"/>
      <c r="I37" s="20"/>
    </row>
    <row r="38" spans="1:9" ht="15" customHeight="1" x14ac:dyDescent="0.2">
      <c r="A38" s="17" t="s">
        <v>171</v>
      </c>
      <c r="B38" s="18" t="s">
        <v>106</v>
      </c>
      <c r="D38" s="19">
        <v>0</v>
      </c>
      <c r="E38" s="19">
        <v>677</v>
      </c>
      <c r="F38" s="19">
        <v>651</v>
      </c>
      <c r="G38" s="19">
        <v>927</v>
      </c>
      <c r="H38" s="19">
        <v>674</v>
      </c>
      <c r="I38" s="20"/>
    </row>
    <row r="39" spans="1:9" ht="15" customHeight="1" x14ac:dyDescent="0.2">
      <c r="A39" s="17" t="s">
        <v>172</v>
      </c>
      <c r="B39" s="18" t="s">
        <v>53</v>
      </c>
      <c r="D39" s="19">
        <v>-182497</v>
      </c>
      <c r="E39" s="19">
        <v>-211613</v>
      </c>
      <c r="F39" s="19">
        <v>-316482</v>
      </c>
      <c r="G39" s="19">
        <v>-386261</v>
      </c>
      <c r="H39" s="19">
        <v>-528468</v>
      </c>
      <c r="I39" s="19">
        <v>-541823</v>
      </c>
    </row>
    <row r="40" spans="1:9" ht="15" customHeight="1" x14ac:dyDescent="0.2">
      <c r="A40" s="17" t="s">
        <v>173</v>
      </c>
      <c r="B40" s="18" t="s">
        <v>174</v>
      </c>
      <c r="D40" s="19">
        <v>-86788</v>
      </c>
      <c r="E40" s="19">
        <v>-137600</v>
      </c>
      <c r="F40" s="19">
        <v>-175789</v>
      </c>
      <c r="G40" s="19">
        <v>-194014</v>
      </c>
      <c r="H40" s="19">
        <v>-205738</v>
      </c>
      <c r="I40" s="19">
        <v>-199300</v>
      </c>
    </row>
    <row r="41" spans="1:9" ht="15" customHeight="1" x14ac:dyDescent="0.2">
      <c r="A41" s="25" t="s">
        <v>175</v>
      </c>
      <c r="B41" s="26"/>
      <c r="C41" s="27"/>
      <c r="D41" s="28">
        <f t="shared" ref="D41:I41" si="2">D36+D37+D38+D39+D40</f>
        <v>-269285</v>
      </c>
      <c r="E41" s="28">
        <f t="shared" si="2"/>
        <v>-348536</v>
      </c>
      <c r="F41" s="28">
        <f t="shared" si="2"/>
        <v>-663520</v>
      </c>
      <c r="G41" s="28">
        <f t="shared" si="2"/>
        <v>-407448</v>
      </c>
      <c r="H41" s="28">
        <f t="shared" si="2"/>
        <v>-733532</v>
      </c>
      <c r="I41" s="28">
        <f t="shared" si="2"/>
        <v>-741123</v>
      </c>
    </row>
    <row r="43" spans="1:9" ht="15" customHeight="1" x14ac:dyDescent="0.2">
      <c r="A43" s="4" t="s">
        <v>176</v>
      </c>
      <c r="B43" s="4"/>
      <c r="C43" s="4"/>
      <c r="D43" s="4"/>
      <c r="E43" s="4"/>
      <c r="F43" s="4"/>
      <c r="G43" s="4"/>
      <c r="H43" s="4"/>
      <c r="I43" s="4"/>
    </row>
    <row r="44" spans="1:9" ht="15" customHeight="1" x14ac:dyDescent="0.2">
      <c r="A44" s="17" t="s">
        <v>177</v>
      </c>
      <c r="B44" s="18" t="s">
        <v>64</v>
      </c>
      <c r="D44" s="19">
        <v>105096</v>
      </c>
      <c r="E44" s="20"/>
      <c r="F44" s="19">
        <v>58800</v>
      </c>
      <c r="G44" s="19">
        <v>155946</v>
      </c>
      <c r="H44" s="19">
        <v>68004</v>
      </c>
      <c r="I44" s="19">
        <v>238472</v>
      </c>
    </row>
    <row r="45" spans="1:9" ht="15" customHeight="1" x14ac:dyDescent="0.2">
      <c r="A45" s="17" t="s">
        <v>178</v>
      </c>
      <c r="B45" s="18" t="s">
        <v>64</v>
      </c>
      <c r="D45" s="19">
        <v>-40767</v>
      </c>
      <c r="E45" s="20"/>
      <c r="F45" s="19">
        <v>-50830</v>
      </c>
      <c r="G45" s="19">
        <v>-54030</v>
      </c>
      <c r="H45" s="19">
        <v>-67860</v>
      </c>
      <c r="I45" s="19">
        <v>-114036</v>
      </c>
    </row>
    <row r="46" spans="1:9" ht="15" customHeight="1" x14ac:dyDescent="0.2">
      <c r="A46" s="17" t="s">
        <v>179</v>
      </c>
      <c r="B46" s="18" t="s">
        <v>64</v>
      </c>
      <c r="D46" s="19">
        <v>-93962</v>
      </c>
      <c r="E46" s="19">
        <v>-19618</v>
      </c>
      <c r="F46" s="19">
        <v>-15429</v>
      </c>
      <c r="G46" s="19">
        <v>-36479</v>
      </c>
      <c r="H46" s="19">
        <v>-30100</v>
      </c>
      <c r="I46" s="19">
        <v>-28554</v>
      </c>
    </row>
    <row r="47" spans="1:9" ht="15" customHeight="1" x14ac:dyDescent="0.2">
      <c r="A47" s="17" t="s">
        <v>180</v>
      </c>
      <c r="B47" s="18" t="s">
        <v>181</v>
      </c>
      <c r="D47" s="19">
        <v>-16642</v>
      </c>
      <c r="E47" s="19">
        <v>-12664</v>
      </c>
      <c r="F47" s="19">
        <v>-11836</v>
      </c>
      <c r="G47" s="19">
        <v>-6274</v>
      </c>
      <c r="H47" s="19">
        <v>-5521</v>
      </c>
      <c r="I47" s="19">
        <v>-2663</v>
      </c>
    </row>
    <row r="48" spans="1:9" ht="15" customHeight="1" x14ac:dyDescent="0.2">
      <c r="A48" s="17" t="s">
        <v>182</v>
      </c>
      <c r="B48" s="18" t="s">
        <v>183</v>
      </c>
      <c r="D48" s="19">
        <v>-156082</v>
      </c>
      <c r="E48" s="19">
        <v>-231274</v>
      </c>
      <c r="F48" s="19">
        <v>-330678</v>
      </c>
      <c r="G48" s="19">
        <v>-245036</v>
      </c>
      <c r="H48" s="19">
        <v>-177216</v>
      </c>
      <c r="I48" s="19">
        <v>-396450</v>
      </c>
    </row>
    <row r="49" spans="1:9" ht="15" customHeight="1" x14ac:dyDescent="0.2">
      <c r="A49" s="25" t="s">
        <v>184</v>
      </c>
      <c r="B49" s="26"/>
      <c r="C49" s="27"/>
      <c r="D49" s="28">
        <f t="shared" ref="D49:I49" si="3">D44+D45+D46+D47+D48</f>
        <v>-202357</v>
      </c>
      <c r="E49" s="28">
        <f t="shared" si="3"/>
        <v>-263556</v>
      </c>
      <c r="F49" s="28">
        <f t="shared" si="3"/>
        <v>-349973</v>
      </c>
      <c r="G49" s="28">
        <f t="shared" si="3"/>
        <v>-185873</v>
      </c>
      <c r="H49" s="28">
        <f t="shared" si="3"/>
        <v>-212693</v>
      </c>
      <c r="I49" s="28">
        <f t="shared" si="3"/>
        <v>-303231</v>
      </c>
    </row>
    <row r="51" spans="1:9" ht="15" customHeight="1" x14ac:dyDescent="0.2">
      <c r="A51" s="21" t="s">
        <v>185</v>
      </c>
      <c r="B51" s="22"/>
      <c r="C51" s="23"/>
      <c r="D51" s="24">
        <f t="shared" ref="D51:I51" si="4">D33+D41+D49</f>
        <v>246674</v>
      </c>
      <c r="E51" s="24">
        <f t="shared" si="4"/>
        <v>250018</v>
      </c>
      <c r="F51" s="24">
        <f t="shared" si="4"/>
        <v>-337937</v>
      </c>
      <c r="G51" s="24">
        <f t="shared" si="4"/>
        <v>25605</v>
      </c>
      <c r="H51" s="24">
        <f t="shared" si="4"/>
        <v>-127909</v>
      </c>
      <c r="I51" s="24">
        <f t="shared" si="4"/>
        <v>274806</v>
      </c>
    </row>
    <row r="52" spans="1:9" ht="15" customHeight="1" x14ac:dyDescent="0.2">
      <c r="A52" s="17" t="s">
        <v>186</v>
      </c>
      <c r="B52" s="18" t="s">
        <v>30</v>
      </c>
      <c r="D52" s="19">
        <v>118831</v>
      </c>
      <c r="E52" s="19">
        <v>366089</v>
      </c>
      <c r="F52" s="19">
        <v>622048</v>
      </c>
      <c r="G52" s="19">
        <v>254238</v>
      </c>
      <c r="H52" s="19">
        <v>277363</v>
      </c>
      <c r="I52" s="19">
        <v>147809</v>
      </c>
    </row>
    <row r="53" spans="1:9" ht="15" customHeight="1" x14ac:dyDescent="0.2">
      <c r="A53" s="17" t="s">
        <v>187</v>
      </c>
      <c r="B53" s="32"/>
      <c r="D53" s="19">
        <v>584</v>
      </c>
      <c r="E53" s="19">
        <v>5941</v>
      </c>
      <c r="F53" s="19">
        <v>-29873</v>
      </c>
      <c r="G53" s="19">
        <v>-2480</v>
      </c>
      <c r="H53" s="19">
        <v>-1645</v>
      </c>
      <c r="I53" s="19">
        <v>1720</v>
      </c>
    </row>
    <row r="54" spans="1:9" ht="15" customHeight="1" x14ac:dyDescent="0.2">
      <c r="A54" s="25" t="s">
        <v>188</v>
      </c>
      <c r="B54" s="26"/>
      <c r="C54" s="27"/>
      <c r="D54" s="28">
        <f t="shared" ref="D54:I54" si="5">D51+D52+D53</f>
        <v>366089</v>
      </c>
      <c r="E54" s="28">
        <f t="shared" si="5"/>
        <v>622048</v>
      </c>
      <c r="F54" s="28">
        <f t="shared" si="5"/>
        <v>254238</v>
      </c>
      <c r="G54" s="28">
        <f t="shared" si="5"/>
        <v>277363</v>
      </c>
      <c r="H54" s="28">
        <f t="shared" si="5"/>
        <v>147809</v>
      </c>
      <c r="I54" s="28">
        <f t="shared" si="5"/>
        <v>424335</v>
      </c>
    </row>
    <row r="55" spans="1:9" ht="15" customHeight="1" x14ac:dyDescent="0.2">
      <c r="A55" s="29" t="s">
        <v>189</v>
      </c>
      <c r="D55" s="30">
        <f>D54-ESF!D8</f>
        <v>0</v>
      </c>
      <c r="E55" s="30">
        <f>E54-ESF!E8</f>
        <v>0</v>
      </c>
      <c r="F55" s="30">
        <f>F54-ESF!F8</f>
        <v>0</v>
      </c>
      <c r="G55" s="30">
        <f>G54-ESF!G8</f>
        <v>0</v>
      </c>
      <c r="H55" s="30">
        <f>H54-ESF!H8</f>
        <v>0</v>
      </c>
      <c r="I55" s="30">
        <f>I54-ESF!I8</f>
        <v>0</v>
      </c>
    </row>
    <row r="57" spans="1:9" ht="15" customHeight="1" x14ac:dyDescent="0.2">
      <c r="A57" s="2" t="s">
        <v>190</v>
      </c>
      <c r="B57" s="2"/>
      <c r="C57" s="2"/>
      <c r="D57" s="2"/>
      <c r="E57" s="2"/>
      <c r="F57" s="2"/>
      <c r="G57" s="2"/>
      <c r="H57" s="2"/>
      <c r="I57" s="2"/>
    </row>
    <row r="58" spans="1:9" ht="15" customHeight="1" x14ac:dyDescent="0.2">
      <c r="A58" s="2" t="s">
        <v>191</v>
      </c>
      <c r="B58" s="2"/>
      <c r="C58" s="2"/>
      <c r="D58" s="2"/>
      <c r="E58" s="2"/>
      <c r="F58" s="2"/>
      <c r="G58" s="2"/>
      <c r="H58" s="2"/>
      <c r="I58" s="2"/>
    </row>
  </sheetData>
  <mergeCells count="10">
    <mergeCell ref="A22:I22"/>
    <mergeCell ref="A35:I35"/>
    <mergeCell ref="A43:I43"/>
    <mergeCell ref="A57:I57"/>
    <mergeCell ref="A58:I58"/>
    <mergeCell ref="A1:I1"/>
    <mergeCell ref="A2:I2"/>
    <mergeCell ref="A3:I3"/>
    <mergeCell ref="A6:I6"/>
    <mergeCell ref="A8:I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8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I1"/>
    </sheetView>
  </sheetViews>
  <sheetFormatPr baseColWidth="10" defaultColWidth="8.6640625" defaultRowHeight="15" x14ac:dyDescent="0.2"/>
  <cols>
    <col min="1" max="1" width="46" customWidth="1"/>
    <col min="2" max="2" width="8" customWidth="1"/>
    <col min="3" max="8" width="13" customWidth="1"/>
  </cols>
  <sheetData>
    <row r="1" spans="1:9" ht="17.2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15" customHeight="1" x14ac:dyDescent="0.2">
      <c r="A2" s="6" t="s">
        <v>192</v>
      </c>
      <c r="B2" s="6"/>
      <c r="C2" s="6"/>
      <c r="D2" s="6"/>
      <c r="E2" s="6"/>
      <c r="F2" s="6"/>
      <c r="G2" s="6"/>
      <c r="H2" s="6"/>
      <c r="I2" s="6"/>
    </row>
    <row r="3" spans="1:9" ht="15" customHeight="1" x14ac:dyDescent="0.2">
      <c r="A3" s="5" t="s">
        <v>193</v>
      </c>
      <c r="B3" s="5"/>
      <c r="C3" s="5"/>
      <c r="D3" s="5"/>
      <c r="E3" s="5"/>
      <c r="F3" s="5"/>
      <c r="G3" s="5"/>
      <c r="H3" s="5"/>
      <c r="I3" s="5"/>
    </row>
    <row r="5" spans="1:9" ht="15" customHeight="1" x14ac:dyDescent="0.2">
      <c r="A5" s="14" t="s">
        <v>25</v>
      </c>
      <c r="B5" s="14" t="s">
        <v>26</v>
      </c>
      <c r="C5" s="15"/>
      <c r="D5" s="16">
        <v>2020</v>
      </c>
      <c r="E5" s="16">
        <v>2021</v>
      </c>
      <c r="F5" s="16">
        <v>2022</v>
      </c>
      <c r="G5" s="16">
        <v>2023</v>
      </c>
      <c r="H5" s="16">
        <v>2024</v>
      </c>
      <c r="I5" s="16">
        <v>2025</v>
      </c>
    </row>
    <row r="6" spans="1:9" ht="15" customHeight="1" x14ac:dyDescent="0.2">
      <c r="A6" s="4" t="s">
        <v>194</v>
      </c>
      <c r="B6" s="4"/>
      <c r="C6" s="4"/>
      <c r="D6" s="4"/>
      <c r="E6" s="4"/>
      <c r="F6" s="4"/>
      <c r="G6" s="4"/>
      <c r="H6" s="4"/>
      <c r="I6" s="4"/>
    </row>
    <row r="7" spans="1:9" ht="15" customHeight="1" x14ac:dyDescent="0.2">
      <c r="A7" s="17" t="s">
        <v>195</v>
      </c>
      <c r="D7" s="36">
        <f>ESF!D15/ESF!D37</f>
        <v>1.3739602533201003</v>
      </c>
      <c r="E7" s="36">
        <f>ESF!E15/ESF!E37</f>
        <v>1.804572048374641</v>
      </c>
      <c r="F7" s="36">
        <f>ESF!F15/ESF!F37</f>
        <v>1.5040665434380776</v>
      </c>
      <c r="G7" s="36">
        <f>ESF!G15/ESF!G37</f>
        <v>1.0866632981037798</v>
      </c>
      <c r="H7" s="36">
        <f>ESF!H15/ESF!H37</f>
        <v>0.8131904096022986</v>
      </c>
      <c r="I7" s="36">
        <f>ESF!I15/ESF!I37</f>
        <v>0.8412977135437828</v>
      </c>
    </row>
    <row r="8" spans="1:9" ht="15" customHeight="1" x14ac:dyDescent="0.2">
      <c r="A8" s="17" t="s">
        <v>196</v>
      </c>
      <c r="D8" s="36">
        <f>(ESF!D15-ESF!D13)/ESF!D37</f>
        <v>1.2260208421948107</v>
      </c>
      <c r="E8" s="36">
        <f>(ESF!E15-ESF!E13)/ESF!E37</f>
        <v>1.6549795439947816</v>
      </c>
      <c r="F8" s="36">
        <f>(ESF!F15-ESF!F13)/ESF!F37</f>
        <v>1.3229615937564181</v>
      </c>
      <c r="G8" s="36">
        <f>(ESF!G15-ESF!G13)/ESF!G37</f>
        <v>0.92696066734973637</v>
      </c>
      <c r="H8" s="36">
        <f>(ESF!H15-ESF!H13)/ESF!H37</f>
        <v>0.60573494221704627</v>
      </c>
      <c r="I8" s="36">
        <f>(ESF!I15-ESF!I13)/ESF!I37</f>
        <v>0.70946151193984131</v>
      </c>
    </row>
    <row r="9" spans="1:9" ht="15" customHeight="1" x14ac:dyDescent="0.2">
      <c r="A9" s="17" t="s">
        <v>197</v>
      </c>
      <c r="D9" s="37">
        <f>ESF!D15-ESF!D37</f>
        <v>126602</v>
      </c>
      <c r="E9" s="37">
        <f>ESF!E15-ESF!E37</f>
        <v>321931</v>
      </c>
      <c r="F9" s="37">
        <f>ESF!F15-ESF!F37</f>
        <v>196344</v>
      </c>
      <c r="G9" s="37">
        <f>ESF!G15-ESF!G37</f>
        <v>37047</v>
      </c>
      <c r="H9" s="37">
        <f>ESF!H15-ESF!H37</f>
        <v>-87904</v>
      </c>
      <c r="I9" s="37">
        <f>ESF!I15-ESF!I37</f>
        <v>-123820</v>
      </c>
    </row>
    <row r="11" spans="1:9" ht="15" customHeight="1" x14ac:dyDescent="0.2">
      <c r="A11" s="4" t="s">
        <v>198</v>
      </c>
      <c r="B11" s="4"/>
      <c r="C11" s="4"/>
      <c r="D11" s="4"/>
      <c r="E11" s="4"/>
      <c r="F11" s="4"/>
      <c r="G11" s="4"/>
      <c r="H11" s="4"/>
      <c r="I11" s="4"/>
    </row>
    <row r="12" spans="1:9" ht="15" customHeight="1" x14ac:dyDescent="0.2">
      <c r="A12" s="17" t="s">
        <v>199</v>
      </c>
      <c r="D12" s="36">
        <f>ESF!D45/ESF!D51</f>
        <v>0.42791074392875827</v>
      </c>
      <c r="E12" s="36">
        <f>ESF!E45/ESF!E51</f>
        <v>0.36518920628228102</v>
      </c>
      <c r="F12" s="36">
        <f>ESF!F45/ESF!F51</f>
        <v>0.31717912804031645</v>
      </c>
      <c r="G12" s="36">
        <f>ESF!G45/ESF!G51</f>
        <v>0.41436610132412904</v>
      </c>
      <c r="H12" s="36">
        <f>ESF!H45/ESF!H51</f>
        <v>0.35001927240563158</v>
      </c>
      <c r="I12" s="36">
        <f>ESF!I45/ESF!I51</f>
        <v>0.44489095727689298</v>
      </c>
    </row>
    <row r="13" spans="1:9" ht="15" customHeight="1" x14ac:dyDescent="0.2">
      <c r="A13" s="17" t="s">
        <v>200</v>
      </c>
      <c r="D13" s="38">
        <f>ESF!D45/ESF!D24</f>
        <v>0.2996761147348771</v>
      </c>
      <c r="E13" s="38">
        <f>ESF!E45/ESF!E24</f>
        <v>0.26750080106242108</v>
      </c>
      <c r="F13" s="38">
        <f>ESF!F45/ESF!F24</f>
        <v>0.24080181752668053</v>
      </c>
      <c r="G13" s="38">
        <f>ESF!G45/ESF!G24</f>
        <v>0.2929694800633299</v>
      </c>
      <c r="H13" s="38">
        <f>ESF!H45/ESF!H24</f>
        <v>0.2592698338164639</v>
      </c>
      <c r="I13" s="38">
        <f>ESF!I45/ESF!I24</f>
        <v>0.30790625066638566</v>
      </c>
    </row>
    <row r="14" spans="1:9" ht="15" customHeight="1" x14ac:dyDescent="0.2">
      <c r="A14" s="17" t="s">
        <v>201</v>
      </c>
      <c r="D14" s="38">
        <f>ESF!D51/ESF!D24</f>
        <v>0.7003238852651229</v>
      </c>
      <c r="E14" s="38">
        <f>ESF!E51/ESF!E24</f>
        <v>0.73249919893757887</v>
      </c>
      <c r="F14" s="38">
        <f>ESF!F51/ESF!F24</f>
        <v>0.75919818247331949</v>
      </c>
      <c r="G14" s="38">
        <f>ESF!G51/ESF!G24</f>
        <v>0.7070305199366701</v>
      </c>
      <c r="H14" s="38">
        <f>ESF!H51/ESF!H24</f>
        <v>0.74073016618353615</v>
      </c>
      <c r="I14" s="38">
        <f>ESF!I51/ESF!I24</f>
        <v>0.69209374933361434</v>
      </c>
    </row>
    <row r="15" spans="1:9" ht="15" customHeight="1" x14ac:dyDescent="0.2">
      <c r="A15" s="17" t="s">
        <v>202</v>
      </c>
      <c r="D15" s="37">
        <f>ERI!D15+EFE!D9+EFE!D10</f>
        <v>878488</v>
      </c>
      <c r="E15" s="37">
        <f>ERI!E15+EFE!E9+EFE!E10</f>
        <v>1054015</v>
      </c>
      <c r="F15" s="37">
        <f>ERI!F15+EFE!F9+EFE!F10</f>
        <v>901298</v>
      </c>
      <c r="G15" s="37">
        <f>ERI!G15+EFE!G9+EFE!G10</f>
        <v>735844</v>
      </c>
      <c r="H15" s="37">
        <f>ERI!H15+EFE!H9+EFE!H10</f>
        <v>1005804</v>
      </c>
      <c r="I15" s="37">
        <f>ERI!I15+EFE!I9+EFE!I10</f>
        <v>1477649</v>
      </c>
    </row>
    <row r="16" spans="1:9" ht="15" customHeight="1" x14ac:dyDescent="0.2">
      <c r="A16" s="17" t="s">
        <v>203</v>
      </c>
      <c r="D16" s="38">
        <f>D15/ERI!D6</f>
        <v>0.5281720668013018</v>
      </c>
      <c r="E16" s="38">
        <f>E15/ERI!E6</f>
        <v>0.5012562138954425</v>
      </c>
      <c r="F16" s="38">
        <f>F15/ERI!F6</f>
        <v>0.43110218048360271</v>
      </c>
      <c r="G16" s="38">
        <f>G15/ERI!G6</f>
        <v>0.36928651366800325</v>
      </c>
      <c r="H16" s="38">
        <f>H15/ERI!H6</f>
        <v>0.38323043915107441</v>
      </c>
      <c r="I16" s="38">
        <f>I15/ERI!I6</f>
        <v>0.42531269203702077</v>
      </c>
    </row>
    <row r="18" spans="1:9" ht="15" customHeight="1" x14ac:dyDescent="0.2">
      <c r="A18" s="4" t="s">
        <v>204</v>
      </c>
      <c r="B18" s="4"/>
      <c r="C18" s="4"/>
      <c r="D18" s="4"/>
      <c r="E18" s="4"/>
      <c r="F18" s="4"/>
      <c r="G18" s="4"/>
      <c r="H18" s="4"/>
      <c r="I18" s="4"/>
    </row>
    <row r="19" spans="1:9" ht="15" customHeight="1" x14ac:dyDescent="0.2">
      <c r="A19" s="17" t="s">
        <v>205</v>
      </c>
      <c r="D19" s="38">
        <f>ERI!D8/ERI!D6</f>
        <v>0.47914428342875831</v>
      </c>
      <c r="E19" s="38">
        <f>ERI!E8/ERI!E6</f>
        <v>0.47617093259436349</v>
      </c>
      <c r="F19" s="38">
        <f>ERI!F8/ERI!F6</f>
        <v>0.42344056942157182</v>
      </c>
      <c r="G19" s="38">
        <f>ERI!G8/ERI!G6</f>
        <v>0.33530695921429682</v>
      </c>
      <c r="H19" s="38">
        <f>ERI!H8/ERI!H6</f>
        <v>0.34917000725079167</v>
      </c>
      <c r="I19" s="38">
        <f>ERI!I8/ERI!I6</f>
        <v>0.39430210418606526</v>
      </c>
    </row>
    <row r="20" spans="1:9" ht="15" customHeight="1" x14ac:dyDescent="0.2">
      <c r="A20" s="17" t="s">
        <v>206</v>
      </c>
      <c r="D20" s="38">
        <f>ERI!D15/ERI!D6</f>
        <v>0.3820843511631668</v>
      </c>
      <c r="E20" s="38">
        <f>ERI!E15/ERI!E6</f>
        <v>0.38084229819374371</v>
      </c>
      <c r="F20" s="38">
        <f>ERI!F15/ERI!F6</f>
        <v>0.30273934403254821</v>
      </c>
      <c r="G20" s="38">
        <f>ERI!G15/ERI!G6</f>
        <v>0.22902424458373691</v>
      </c>
      <c r="H20" s="38">
        <f>ERI!H15/ERI!H6</f>
        <v>0.24836838136649417</v>
      </c>
      <c r="I20" s="38">
        <f>ERI!I15/ERI!I6</f>
        <v>0.29769174199434989</v>
      </c>
    </row>
    <row r="21" spans="1:9" ht="15" customHeight="1" x14ac:dyDescent="0.2">
      <c r="A21" s="17" t="s">
        <v>207</v>
      </c>
      <c r="D21" s="38">
        <f>ERI!D22/ERI!D6</f>
        <v>0.23180907867135706</v>
      </c>
      <c r="E21" s="38">
        <f>ERI!E22/ERI!E6</f>
        <v>0.26289040003386049</v>
      </c>
      <c r="F21" s="38">
        <f>ERI!F22/ERI!F6</f>
        <v>0.19483824185684773</v>
      </c>
      <c r="G21" s="38">
        <f>ERI!G22/ERI!G6</f>
        <v>0.14838026507946864</v>
      </c>
      <c r="H21" s="38">
        <f>ERI!H22/ERI!H6</f>
        <v>0.15817165744410167</v>
      </c>
      <c r="I21" s="38">
        <f>ERI!I22/ERI!I6</f>
        <v>0.20721130944242883</v>
      </c>
    </row>
    <row r="22" spans="1:9" ht="15" customHeight="1" x14ac:dyDescent="0.2">
      <c r="A22" s="17" t="s">
        <v>208</v>
      </c>
      <c r="D22" s="38">
        <f>ERI!D22/ESF!D51</f>
        <v>0.32227189065663192</v>
      </c>
      <c r="E22" s="38">
        <f>ERI!E22/ESF!E51</f>
        <v>0.3641772952461263</v>
      </c>
      <c r="F22" s="38">
        <f>ERI!F22/ESF!F51</f>
        <v>0.25539159689576435</v>
      </c>
      <c r="G22" s="38">
        <f>ERI!G22/ESF!G51</f>
        <v>0.179668329677141</v>
      </c>
      <c r="H22" s="38">
        <f>ERI!H22/ESF!H51</f>
        <v>0.22039986790703797</v>
      </c>
      <c r="I22" s="38">
        <f>ERI!I22/ESF!I51</f>
        <v>0.32619567290853241</v>
      </c>
    </row>
    <row r="23" spans="1:9" ht="15" customHeight="1" x14ac:dyDescent="0.2">
      <c r="A23" s="17" t="s">
        <v>209</v>
      </c>
      <c r="D23" s="38">
        <f>ERI!D22/ESF!D24</f>
        <v>0.22569470257638932</v>
      </c>
      <c r="E23" s="38">
        <f>ERI!E22/ESF!E24</f>
        <v>0.26675957703904168</v>
      </c>
      <c r="F23" s="38">
        <f>ERI!F22/ESF!F24</f>
        <v>0.19389283618222294</v>
      </c>
      <c r="G23" s="38">
        <f>ERI!G22/ESF!G24</f>
        <v>0.12703099254778205</v>
      </c>
      <c r="H23" s="38">
        <f>ERI!H22/ESF!H24</f>
        <v>0.16325683078160966</v>
      </c>
      <c r="I23" s="38">
        <f>ERI!I22/ESF!I24</f>
        <v>0.22575798627966748</v>
      </c>
    </row>
    <row r="25" spans="1:9" ht="15" customHeight="1" x14ac:dyDescent="0.2">
      <c r="A25" s="4" t="s">
        <v>210</v>
      </c>
      <c r="B25" s="4"/>
      <c r="C25" s="4"/>
      <c r="D25" s="4"/>
      <c r="E25" s="4"/>
      <c r="F25" s="4"/>
      <c r="G25" s="4"/>
      <c r="H25" s="4"/>
      <c r="I25" s="4"/>
    </row>
    <row r="26" spans="1:9" ht="15" customHeight="1" x14ac:dyDescent="0.2">
      <c r="A26" s="17" t="s">
        <v>211</v>
      </c>
      <c r="D26" s="36">
        <f>ERI!D6/ESF!D24</f>
        <v>0.97362322420669178</v>
      </c>
      <c r="E26" s="36">
        <f>ERI!E6/ESF!E24</f>
        <v>1.0147178330006834</v>
      </c>
      <c r="F26" s="36">
        <f>ERI!F6/ESF!F24</f>
        <v>0.99514774068162959</v>
      </c>
      <c r="G26" s="36">
        <f>ERI!G6/ESF!G24</f>
        <v>0.8561178434325315</v>
      </c>
      <c r="H26" s="36">
        <f>ERI!H6/ESF!H24</f>
        <v>1.0321497126582562</v>
      </c>
      <c r="I26" s="36">
        <f>ERI!I6/ESF!I24</f>
        <v>1.089506103152114</v>
      </c>
    </row>
    <row r="27" spans="1:9" ht="15" customHeight="1" x14ac:dyDescent="0.2">
      <c r="A27" s="17" t="s">
        <v>212</v>
      </c>
      <c r="D27" s="36">
        <f>ABS(ERI!D7)/ESF!D13</f>
        <v>17.297320501557383</v>
      </c>
      <c r="E27" s="36">
        <f>ABS(ERI!E7)/ESF!E13</f>
        <v>18.402165196471532</v>
      </c>
      <c r="F27" s="36">
        <f>ABS(ERI!F7)/ESF!F13</f>
        <v>17.087250510319802</v>
      </c>
      <c r="G27" s="36">
        <f>ABS(ERI!G7)/ESF!G13</f>
        <v>19.400527318002052</v>
      </c>
      <c r="H27" s="36">
        <f>ABS(ERI!H7)/ESF!H13</f>
        <v>17.4979256087442</v>
      </c>
      <c r="I27" s="36">
        <f>ABS(ERI!I7)/ESF!I13</f>
        <v>20.458637552377528</v>
      </c>
    </row>
    <row r="28" spans="1:9" ht="15" customHeight="1" x14ac:dyDescent="0.2">
      <c r="A28" s="17" t="s">
        <v>213</v>
      </c>
      <c r="D28" s="39">
        <f>365/(ABS(ERI!D7)/ESF!D13)</f>
        <v>21.101534192370249</v>
      </c>
      <c r="E28" s="39">
        <f>365/(ABS(ERI!E7)/ESF!E13)</f>
        <v>19.834622507898462</v>
      </c>
      <c r="F28" s="39">
        <f>365/(ABS(ERI!F7)/ESF!F13)</f>
        <v>21.360955630606526</v>
      </c>
      <c r="G28" s="39">
        <f>365/(ABS(ERI!G7)/ESF!G13)</f>
        <v>18.813921602085053</v>
      </c>
      <c r="H28" s="39">
        <f>365/(ABS(ERI!H7)/ESF!H13)</f>
        <v>20.859615485940765</v>
      </c>
      <c r="I28" s="39">
        <f>365/(ABS(ERI!I7)/ESF!I13)</f>
        <v>17.84087523255344</v>
      </c>
    </row>
    <row r="30" spans="1:9" ht="15" customHeight="1" x14ac:dyDescent="0.2">
      <c r="A30" s="4" t="s">
        <v>214</v>
      </c>
      <c r="B30" s="4"/>
      <c r="C30" s="4"/>
      <c r="D30" s="4"/>
      <c r="E30" s="4"/>
      <c r="F30" s="4"/>
      <c r="G30" s="4"/>
      <c r="H30" s="4"/>
      <c r="I30" s="4"/>
    </row>
    <row r="31" spans="1:9" ht="15" customHeight="1" x14ac:dyDescent="0.2">
      <c r="A31" s="17" t="s">
        <v>215</v>
      </c>
      <c r="D31" s="40">
        <f>ERI!D24</f>
        <v>1.0620000000000001</v>
      </c>
      <c r="E31" s="40">
        <f>ERI!E24</f>
        <v>1.218</v>
      </c>
      <c r="F31" s="40">
        <f>ERI!F24</f>
        <v>0.89800000000000002</v>
      </c>
      <c r="G31" s="40">
        <f>ERI!G24</f>
        <v>0.49299999999999999</v>
      </c>
      <c r="H31" s="40">
        <f>ERI!H24</f>
        <v>0.51900000000000002</v>
      </c>
      <c r="I31" s="40">
        <f>ERI!I24</f>
        <v>0.72</v>
      </c>
    </row>
    <row r="32" spans="1:9" ht="15" customHeight="1" x14ac:dyDescent="0.2">
      <c r="A32" s="17" t="s">
        <v>216</v>
      </c>
      <c r="D32" s="40">
        <f>ESF!D51/ECP!D20</f>
        <v>3.2958071625344351E-3</v>
      </c>
      <c r="E32" s="40">
        <f>ESF!E51/ECP!E20</f>
        <v>3.3452782369146005E-3</v>
      </c>
      <c r="F32" s="40">
        <f>ESF!F51/ECP!F20</f>
        <v>3.5151118457300277E-3</v>
      </c>
      <c r="G32" s="40">
        <f>ESF!G51/ECP!G20</f>
        <v>2.7426833333333333E-3</v>
      </c>
      <c r="H32" s="40">
        <f>ESF!H51/ECP!H20</f>
        <v>2.3544025E-3</v>
      </c>
      <c r="I32" s="40">
        <f>ESF!I51/ECP!I20</f>
        <v>2.206979E-3</v>
      </c>
    </row>
    <row r="33" spans="1:9" ht="15" customHeight="1" x14ac:dyDescent="0.2">
      <c r="A33" s="17" t="s">
        <v>217</v>
      </c>
      <c r="D33" s="40">
        <f>-ECP!D9/ECP!D20</f>
        <v>4.2999999999999999E-4</v>
      </c>
      <c r="E33" s="40">
        <f>-ECP!E9/ECP!E20</f>
        <v>5.0967052341597792E-4</v>
      </c>
      <c r="F33" s="40">
        <f>-ECP!F9/ECP!F20</f>
        <v>7.2872727272727271E-4</v>
      </c>
      <c r="G33" s="40">
        <f>-ECP!G9/ECP!G20</f>
        <v>4.0839333333333333E-4</v>
      </c>
      <c r="H33" s="40">
        <f>-ECP!H9/ECP!H20</f>
        <v>2.2152000000000001E-4</v>
      </c>
      <c r="I33" s="40">
        <f>-ECP!I9/ECP!I20</f>
        <v>3.9645000000000001E-4</v>
      </c>
    </row>
    <row r="36" spans="1:9" ht="15" customHeight="1" x14ac:dyDescent="0.2">
      <c r="A36" s="2" t="s">
        <v>218</v>
      </c>
      <c r="B36" s="2"/>
      <c r="C36" s="2"/>
      <c r="D36" s="2"/>
      <c r="E36" s="2"/>
      <c r="F36" s="2"/>
      <c r="G36" s="2"/>
      <c r="H36" s="2"/>
      <c r="I36" s="2"/>
    </row>
    <row r="37" spans="1:9" ht="15" customHeight="1" x14ac:dyDescent="0.2">
      <c r="A37" s="2" t="s">
        <v>219</v>
      </c>
      <c r="B37" s="2"/>
      <c r="C37" s="2"/>
      <c r="D37" s="2"/>
      <c r="E37" s="2"/>
      <c r="F37" s="2"/>
      <c r="G37" s="2"/>
      <c r="H37" s="2"/>
      <c r="I37" s="2"/>
    </row>
    <row r="38" spans="1:9" ht="15" customHeight="1" x14ac:dyDescent="0.2">
      <c r="A38" s="2" t="s">
        <v>220</v>
      </c>
      <c r="B38" s="2"/>
      <c r="C38" s="2"/>
      <c r="D38" s="2"/>
      <c r="E38" s="2"/>
      <c r="F38" s="2"/>
      <c r="G38" s="2"/>
      <c r="H38" s="2"/>
      <c r="I38" s="2"/>
    </row>
  </sheetData>
  <mergeCells count="11">
    <mergeCell ref="A38:I38"/>
    <mergeCell ref="A18:I18"/>
    <mergeCell ref="A25:I25"/>
    <mergeCell ref="A30:I30"/>
    <mergeCell ref="A36:I36"/>
    <mergeCell ref="A37:I37"/>
    <mergeCell ref="A1:I1"/>
    <mergeCell ref="A2:I2"/>
    <mergeCell ref="A3:I3"/>
    <mergeCell ref="A6:I6"/>
    <mergeCell ref="A11:I1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C1"/>
    </sheetView>
  </sheetViews>
  <sheetFormatPr baseColWidth="10" defaultColWidth="8.6640625" defaultRowHeight="15" x14ac:dyDescent="0.2"/>
  <cols>
    <col min="1" max="1" width="42" customWidth="1"/>
    <col min="2" max="2" width="8" customWidth="1"/>
    <col min="3" max="3" width="15" customWidth="1"/>
  </cols>
  <sheetData>
    <row r="1" spans="1:3" ht="18" x14ac:dyDescent="0.2">
      <c r="A1" s="7" t="s">
        <v>0</v>
      </c>
      <c r="B1" s="7"/>
      <c r="C1" s="7"/>
    </row>
    <row r="2" spans="1:3" ht="16" x14ac:dyDescent="0.2">
      <c r="A2" s="1" t="s">
        <v>221</v>
      </c>
      <c r="B2" s="1"/>
      <c r="C2" s="1"/>
    </row>
    <row r="3" spans="1:3" x14ac:dyDescent="0.2">
      <c r="A3" s="5" t="s">
        <v>222</v>
      </c>
      <c r="B3" s="5"/>
      <c r="C3" s="5"/>
    </row>
    <row r="5" spans="1:3" x14ac:dyDescent="0.2">
      <c r="A5" s="41" t="s">
        <v>25</v>
      </c>
      <c r="B5" s="41" t="s">
        <v>26</v>
      </c>
      <c r="C5" s="41">
        <v>2019</v>
      </c>
    </row>
    <row r="6" spans="1:3" x14ac:dyDescent="0.2">
      <c r="A6" s="17" t="s">
        <v>38</v>
      </c>
      <c r="B6" s="42" t="s">
        <v>39</v>
      </c>
      <c r="C6" s="19">
        <v>44353</v>
      </c>
    </row>
    <row r="7" spans="1:3" x14ac:dyDescent="0.2">
      <c r="A7" s="17" t="s">
        <v>32</v>
      </c>
      <c r="B7" s="42" t="s">
        <v>33</v>
      </c>
      <c r="C7" s="19">
        <v>9622</v>
      </c>
    </row>
    <row r="8" spans="1:3" x14ac:dyDescent="0.2">
      <c r="A8" s="17" t="s">
        <v>34</v>
      </c>
      <c r="B8" s="42" t="s">
        <v>35</v>
      </c>
      <c r="C8" s="19">
        <v>23718</v>
      </c>
    </row>
    <row r="9" spans="1:3" x14ac:dyDescent="0.2">
      <c r="A9" s="17" t="s">
        <v>58</v>
      </c>
      <c r="B9" s="42" t="s">
        <v>59</v>
      </c>
      <c r="C9" s="19">
        <v>70981</v>
      </c>
    </row>
    <row r="11" spans="1:3" x14ac:dyDescent="0.2">
      <c r="A11" s="2" t="s">
        <v>223</v>
      </c>
      <c r="B11" s="2"/>
      <c r="C11" s="2"/>
    </row>
  </sheetData>
  <mergeCells count="4">
    <mergeCell ref="A1:C1"/>
    <mergeCell ref="A2:C2"/>
    <mergeCell ref="A3:C3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2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49" sqref="K49"/>
    </sheetView>
  </sheetViews>
  <sheetFormatPr baseColWidth="10" defaultColWidth="8.6640625" defaultRowHeight="15" x14ac:dyDescent="0.2"/>
  <cols>
    <col min="1" max="1" width="46" customWidth="1"/>
    <col min="2" max="2" width="8" customWidth="1"/>
    <col min="3" max="8" width="13" customWidth="1"/>
    <col min="9" max="9" width="9.1640625" bestFit="1" customWidth="1"/>
  </cols>
  <sheetData>
    <row r="1" spans="1:9" ht="18" x14ac:dyDescent="0.2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16" x14ac:dyDescent="0.2">
      <c r="A2" s="1" t="s">
        <v>224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5" t="s">
        <v>225</v>
      </c>
      <c r="B3" s="5"/>
      <c r="C3" s="5"/>
      <c r="D3" s="5"/>
      <c r="E3" s="5"/>
      <c r="F3" s="5"/>
      <c r="G3" s="5"/>
      <c r="H3" s="5"/>
      <c r="I3" s="5"/>
    </row>
    <row r="5" spans="1:9" x14ac:dyDescent="0.2">
      <c r="A5" s="14" t="s">
        <v>25</v>
      </c>
      <c r="B5" s="14" t="s">
        <v>26</v>
      </c>
      <c r="C5" s="15"/>
      <c r="D5" s="16">
        <v>2020</v>
      </c>
      <c r="E5" s="16">
        <v>2021</v>
      </c>
      <c r="F5" s="16">
        <v>2022</v>
      </c>
      <c r="G5" s="16">
        <v>2023</v>
      </c>
      <c r="H5" s="16">
        <v>2024</v>
      </c>
      <c r="I5" s="16">
        <v>2025</v>
      </c>
    </row>
    <row r="6" spans="1:9" x14ac:dyDescent="0.2">
      <c r="A6" s="4" t="s">
        <v>226</v>
      </c>
      <c r="B6" s="4"/>
      <c r="C6" s="4"/>
      <c r="D6" s="4"/>
      <c r="E6" s="4"/>
      <c r="F6" s="4"/>
      <c r="G6" s="4"/>
      <c r="H6" s="4"/>
      <c r="I6" s="4"/>
    </row>
    <row r="7" spans="1:9" x14ac:dyDescent="0.2">
      <c r="A7" s="17" t="s">
        <v>227</v>
      </c>
      <c r="B7" s="42" t="s">
        <v>39</v>
      </c>
      <c r="D7" s="20">
        <f>Cap3_Base2019!$C$6</f>
        <v>44353</v>
      </c>
      <c r="E7" s="20">
        <f>ESF!D13</f>
        <v>50084</v>
      </c>
      <c r="F7" s="20">
        <f>ESF!E13</f>
        <v>59856</v>
      </c>
      <c r="G7" s="20">
        <f>ESF!F13</f>
        <v>70544</v>
      </c>
      <c r="H7" s="20">
        <f>ESF!G13</f>
        <v>68270</v>
      </c>
      <c r="I7" s="20">
        <f>ESF!H13</f>
        <v>97619</v>
      </c>
    </row>
    <row r="8" spans="1:9" x14ac:dyDescent="0.2">
      <c r="A8" s="17" t="s">
        <v>228</v>
      </c>
      <c r="B8" s="42" t="s">
        <v>39</v>
      </c>
      <c r="D8" s="20">
        <f>ESF!D13</f>
        <v>50084</v>
      </c>
      <c r="E8" s="20">
        <f>ESF!E13</f>
        <v>59856</v>
      </c>
      <c r="F8" s="20">
        <f>ESF!F13</f>
        <v>70544</v>
      </c>
      <c r="G8" s="20">
        <f>ESF!G13</f>
        <v>68270</v>
      </c>
      <c r="H8" s="20">
        <f>ESF!H13</f>
        <v>97619</v>
      </c>
      <c r="I8" s="20">
        <f>ESF!I13</f>
        <v>102859</v>
      </c>
    </row>
    <row r="9" spans="1:9" x14ac:dyDescent="0.2">
      <c r="A9" s="43" t="s">
        <v>229</v>
      </c>
      <c r="B9" s="22"/>
      <c r="D9" s="24">
        <f t="shared" ref="D9:I9" si="0">AVERAGE(D7:D8)</f>
        <v>47218.5</v>
      </c>
      <c r="E9" s="24">
        <f t="shared" si="0"/>
        <v>54970</v>
      </c>
      <c r="F9" s="24">
        <f t="shared" si="0"/>
        <v>65200</v>
      </c>
      <c r="G9" s="24">
        <f t="shared" si="0"/>
        <v>69407</v>
      </c>
      <c r="H9" s="24">
        <f t="shared" si="0"/>
        <v>82944.5</v>
      </c>
      <c r="I9" s="24">
        <f t="shared" si="0"/>
        <v>100239</v>
      </c>
    </row>
    <row r="11" spans="1:9" x14ac:dyDescent="0.2">
      <c r="A11" s="4" t="s">
        <v>230</v>
      </c>
      <c r="B11" s="4"/>
      <c r="C11" s="4"/>
      <c r="D11" s="4"/>
      <c r="E11" s="4"/>
      <c r="F11" s="4"/>
      <c r="G11" s="4"/>
      <c r="H11" s="4"/>
      <c r="I11" s="4"/>
    </row>
    <row r="12" spans="1:9" x14ac:dyDescent="0.2">
      <c r="A12" s="17" t="s">
        <v>231</v>
      </c>
      <c r="B12" s="42" t="s">
        <v>33</v>
      </c>
      <c r="D12" s="20">
        <f>Cap3_Base2019!$C$7</f>
        <v>9622</v>
      </c>
      <c r="E12" s="20">
        <f>ESF!D10</f>
        <v>12787</v>
      </c>
      <c r="F12" s="20">
        <f>ESF!E10</f>
        <v>10183</v>
      </c>
      <c r="G12" s="20">
        <f>ESF!F10</f>
        <v>12630</v>
      </c>
      <c r="H12" s="20">
        <f>ESF!G10</f>
        <v>14628</v>
      </c>
      <c r="I12" s="20">
        <f>ESF!H10</f>
        <v>19293</v>
      </c>
    </row>
    <row r="13" spans="1:9" x14ac:dyDescent="0.2">
      <c r="A13" s="17" t="s">
        <v>232</v>
      </c>
      <c r="B13" s="42" t="s">
        <v>35</v>
      </c>
      <c r="D13" s="20">
        <f>Cap3_Base2019!$C$8</f>
        <v>23718</v>
      </c>
      <c r="E13" s="20">
        <f>ESF!D11</f>
        <v>16688</v>
      </c>
      <c r="F13" s="20">
        <f>ESF!E11</f>
        <v>16592</v>
      </c>
      <c r="G13" s="20">
        <f>ESF!F11</f>
        <v>62109</v>
      </c>
      <c r="H13" s="20">
        <f>ESF!G11</f>
        <v>87810</v>
      </c>
      <c r="I13" s="20">
        <f>ESF!H11</f>
        <v>104314</v>
      </c>
    </row>
    <row r="14" spans="1:9" x14ac:dyDescent="0.2">
      <c r="A14" s="43" t="s">
        <v>233</v>
      </c>
      <c r="B14" s="22"/>
      <c r="D14" s="24">
        <f t="shared" ref="D14:I14" si="1">D12+D13</f>
        <v>33340</v>
      </c>
      <c r="E14" s="24">
        <f t="shared" si="1"/>
        <v>29475</v>
      </c>
      <c r="F14" s="24">
        <f t="shared" si="1"/>
        <v>26775</v>
      </c>
      <c r="G14" s="24">
        <f t="shared" si="1"/>
        <v>74739</v>
      </c>
      <c r="H14" s="24">
        <f t="shared" si="1"/>
        <v>102438</v>
      </c>
      <c r="I14" s="24">
        <f t="shared" si="1"/>
        <v>123607</v>
      </c>
    </row>
    <row r="15" spans="1:9" x14ac:dyDescent="0.2">
      <c r="A15" s="17" t="s">
        <v>234</v>
      </c>
      <c r="B15" s="42" t="s">
        <v>33</v>
      </c>
      <c r="D15" s="20">
        <f>ESF!D10</f>
        <v>12787</v>
      </c>
      <c r="E15" s="20">
        <f>ESF!E10</f>
        <v>10183</v>
      </c>
      <c r="F15" s="20">
        <f>ESF!F10</f>
        <v>12630</v>
      </c>
      <c r="G15" s="20">
        <f>ESF!G10</f>
        <v>14628</v>
      </c>
      <c r="H15" s="20">
        <f>ESF!H10</f>
        <v>19293</v>
      </c>
      <c r="I15" s="20">
        <f>ESF!I10</f>
        <v>34281</v>
      </c>
    </row>
    <row r="16" spans="1:9" x14ac:dyDescent="0.2">
      <c r="A16" s="17" t="s">
        <v>235</v>
      </c>
      <c r="B16" s="42" t="s">
        <v>35</v>
      </c>
      <c r="D16" s="20">
        <f>ESF!D11</f>
        <v>16688</v>
      </c>
      <c r="E16" s="20">
        <f>ESF!E11</f>
        <v>16592</v>
      </c>
      <c r="F16" s="20">
        <f>ESF!F11</f>
        <v>62109</v>
      </c>
      <c r="G16" s="20">
        <f>ESF!G11</f>
        <v>87810</v>
      </c>
      <c r="H16" s="20">
        <f>ESF!H11</f>
        <v>104314</v>
      </c>
      <c r="I16" s="20">
        <f>ESF!I11</f>
        <v>83432</v>
      </c>
    </row>
    <row r="17" spans="1:9" x14ac:dyDescent="0.2">
      <c r="A17" s="43" t="s">
        <v>236</v>
      </c>
      <c r="B17" s="22"/>
      <c r="D17" s="24">
        <f t="shared" ref="D17:I17" si="2">D15+D16</f>
        <v>29475</v>
      </c>
      <c r="E17" s="24">
        <f t="shared" si="2"/>
        <v>26775</v>
      </c>
      <c r="F17" s="24">
        <f t="shared" si="2"/>
        <v>74739</v>
      </c>
      <c r="G17" s="24">
        <f t="shared" si="2"/>
        <v>102438</v>
      </c>
      <c r="H17" s="24">
        <f t="shared" si="2"/>
        <v>123607</v>
      </c>
      <c r="I17" s="24">
        <f t="shared" si="2"/>
        <v>117713</v>
      </c>
    </row>
    <row r="18" spans="1:9" x14ac:dyDescent="0.2">
      <c r="A18" s="43" t="s">
        <v>237</v>
      </c>
      <c r="B18" s="22"/>
      <c r="D18" s="24">
        <f t="shared" ref="D18:I18" si="3">AVERAGE(D14,D17)</f>
        <v>31407.5</v>
      </c>
      <c r="E18" s="24">
        <f t="shared" si="3"/>
        <v>28125</v>
      </c>
      <c r="F18" s="24">
        <f t="shared" si="3"/>
        <v>50757</v>
      </c>
      <c r="G18" s="24">
        <f t="shared" si="3"/>
        <v>88588.5</v>
      </c>
      <c r="H18" s="24">
        <f t="shared" si="3"/>
        <v>113022.5</v>
      </c>
      <c r="I18" s="24">
        <f t="shared" si="3"/>
        <v>120660</v>
      </c>
    </row>
    <row r="20" spans="1:9" x14ac:dyDescent="0.2">
      <c r="A20" s="4" t="s">
        <v>238</v>
      </c>
      <c r="B20" s="4"/>
      <c r="C20" s="4"/>
      <c r="D20" s="4"/>
      <c r="E20" s="4"/>
      <c r="F20" s="4"/>
      <c r="G20" s="4"/>
      <c r="H20" s="4"/>
      <c r="I20" s="4"/>
    </row>
    <row r="21" spans="1:9" x14ac:dyDescent="0.2">
      <c r="A21" s="17" t="s">
        <v>239</v>
      </c>
      <c r="B21" s="42" t="s">
        <v>59</v>
      </c>
      <c r="D21" s="20">
        <f>Cap3_Base2019!$C$9</f>
        <v>70981</v>
      </c>
      <c r="E21" s="20">
        <f>ESF!D28</f>
        <v>85609</v>
      </c>
      <c r="F21" s="20">
        <f>ESF!E28</f>
        <v>86042</v>
      </c>
      <c r="G21" s="20">
        <f>ESF!F28</f>
        <v>103394</v>
      </c>
      <c r="H21" s="20">
        <f>ESF!G28</f>
        <v>210432</v>
      </c>
      <c r="I21" s="20">
        <f>ESF!H28</f>
        <v>221961</v>
      </c>
    </row>
    <row r="22" spans="1:9" x14ac:dyDescent="0.2">
      <c r="A22" s="17" t="s">
        <v>240</v>
      </c>
      <c r="B22" s="42" t="s">
        <v>59</v>
      </c>
      <c r="D22" s="20">
        <f>ESF!D28</f>
        <v>85609</v>
      </c>
      <c r="E22" s="20">
        <f>ESF!E28</f>
        <v>86042</v>
      </c>
      <c r="F22" s="20">
        <f>ESF!F28</f>
        <v>103394</v>
      </c>
      <c r="G22" s="20">
        <f>ESF!G28</f>
        <v>210432</v>
      </c>
      <c r="H22" s="20">
        <f>ESF!H28</f>
        <v>221961</v>
      </c>
      <c r="I22" s="20">
        <f>ESF!I28</f>
        <v>303688</v>
      </c>
    </row>
    <row r="23" spans="1:9" x14ac:dyDescent="0.2">
      <c r="A23" s="43" t="s">
        <v>241</v>
      </c>
      <c r="B23" s="22"/>
      <c r="D23" s="24">
        <f t="shared" ref="D23:I23" si="4">AVERAGE(D21:D22)</f>
        <v>78295</v>
      </c>
      <c r="E23" s="24">
        <f t="shared" si="4"/>
        <v>85825.5</v>
      </c>
      <c r="F23" s="24">
        <f t="shared" si="4"/>
        <v>94718</v>
      </c>
      <c r="G23" s="24">
        <f t="shared" si="4"/>
        <v>156913</v>
      </c>
      <c r="H23" s="24">
        <f t="shared" si="4"/>
        <v>216196.5</v>
      </c>
      <c r="I23" s="24">
        <f t="shared" si="4"/>
        <v>262824.5</v>
      </c>
    </row>
    <row r="25" spans="1:9" x14ac:dyDescent="0.2">
      <c r="A25" s="4" t="s">
        <v>242</v>
      </c>
      <c r="B25" s="4"/>
      <c r="C25" s="4"/>
      <c r="D25" s="4"/>
      <c r="E25" s="4"/>
      <c r="F25" s="4"/>
      <c r="G25" s="4"/>
      <c r="H25" s="4"/>
      <c r="I25" s="4"/>
    </row>
    <row r="26" spans="1:9" x14ac:dyDescent="0.2">
      <c r="A26" s="17" t="s">
        <v>243</v>
      </c>
      <c r="B26" s="42" t="s">
        <v>98</v>
      </c>
      <c r="D26" s="20">
        <f>ABS(ERI!D7)</f>
        <v>866319</v>
      </c>
      <c r="E26" s="20">
        <f>ABS(ERI!E7)</f>
        <v>1101480</v>
      </c>
      <c r="F26" s="20">
        <f>ABS(ERI!F7)</f>
        <v>1205403</v>
      </c>
      <c r="G26" s="20">
        <f>ABS(ERI!G7)</f>
        <v>1324474</v>
      </c>
      <c r="H26" s="20">
        <f>ABS(ERI!H7)</f>
        <v>1708130</v>
      </c>
      <c r="I26" s="20">
        <f>ABS(ERI!I7)</f>
        <v>2104355</v>
      </c>
    </row>
    <row r="27" spans="1:9" x14ac:dyDescent="0.2">
      <c r="A27" s="17" t="s">
        <v>244</v>
      </c>
      <c r="B27" s="42" t="s">
        <v>96</v>
      </c>
      <c r="D27" s="20">
        <f>ERI!D6</f>
        <v>1663261</v>
      </c>
      <c r="E27" s="20">
        <f>ERI!E6</f>
        <v>2102747</v>
      </c>
      <c r="F27" s="20">
        <f>ERI!F6</f>
        <v>2090683</v>
      </c>
      <c r="G27" s="20">
        <f>ERI!G6</f>
        <v>1992610</v>
      </c>
      <c r="H27" s="20">
        <f>ERI!H6</f>
        <v>2624541</v>
      </c>
      <c r="I27" s="20">
        <f>ERI!I6</f>
        <v>3474265</v>
      </c>
    </row>
    <row r="28" spans="1:9" x14ac:dyDescent="0.2">
      <c r="A28" s="17" t="s">
        <v>245</v>
      </c>
      <c r="B28" s="32"/>
      <c r="D28" s="20">
        <f>ERI!D22</f>
        <v>385559</v>
      </c>
      <c r="E28" s="20">
        <f>ERI!E22</f>
        <v>552792</v>
      </c>
      <c r="F28" s="20">
        <f>ERI!F22</f>
        <v>407345</v>
      </c>
      <c r="G28" s="20">
        <f>ERI!G22</f>
        <v>295664</v>
      </c>
      <c r="H28" s="20">
        <f>ERI!H22</f>
        <v>415128</v>
      </c>
      <c r="I28" s="20">
        <f>ERI!I22</f>
        <v>719907</v>
      </c>
    </row>
    <row r="29" spans="1:9" x14ac:dyDescent="0.2">
      <c r="A29" s="17" t="s">
        <v>246</v>
      </c>
      <c r="B29" s="32"/>
      <c r="D29" s="20">
        <f>ESF!D24</f>
        <v>1708321</v>
      </c>
      <c r="E29" s="20">
        <f>ESF!E24</f>
        <v>2072248</v>
      </c>
      <c r="F29" s="20">
        <f>ESF!F24</f>
        <v>2100877</v>
      </c>
      <c r="G29" s="20">
        <f>ESF!G24</f>
        <v>2327495</v>
      </c>
      <c r="H29" s="20">
        <f>ESF!H24</f>
        <v>2542791</v>
      </c>
      <c r="I29" s="20">
        <f>ESF!I24</f>
        <v>3188844</v>
      </c>
    </row>
    <row r="30" spans="1:9" x14ac:dyDescent="0.2">
      <c r="A30" s="17" t="s">
        <v>247</v>
      </c>
      <c r="B30" s="32"/>
      <c r="D30" s="20">
        <f>ESF!D51</f>
        <v>1196378</v>
      </c>
      <c r="E30" s="20">
        <f>ESF!E51</f>
        <v>1517920</v>
      </c>
      <c r="F30" s="20">
        <f>ESF!F51</f>
        <v>1594982</v>
      </c>
      <c r="G30" s="20">
        <f>ESF!G51</f>
        <v>1645610</v>
      </c>
      <c r="H30" s="20">
        <f>ESF!H51</f>
        <v>1883522</v>
      </c>
      <c r="I30" s="20">
        <f>ESF!I51</f>
        <v>2206979</v>
      </c>
    </row>
    <row r="32" spans="1:9" x14ac:dyDescent="0.2">
      <c r="A32" s="4" t="s">
        <v>248</v>
      </c>
      <c r="B32" s="4"/>
      <c r="C32" s="4"/>
      <c r="D32" s="4"/>
      <c r="E32" s="4"/>
      <c r="F32" s="4"/>
      <c r="G32" s="4"/>
      <c r="H32" s="4"/>
      <c r="I32" s="4"/>
    </row>
    <row r="33" spans="1:9" x14ac:dyDescent="0.2">
      <c r="A33" s="44" t="s">
        <v>249</v>
      </c>
      <c r="B33" s="45"/>
      <c r="D33" s="46">
        <f t="shared" ref="D33:I33" si="5">D9/D26*360</f>
        <v>19.621709785887184</v>
      </c>
      <c r="E33" s="46">
        <f t="shared" si="5"/>
        <v>17.966009369212333</v>
      </c>
      <c r="F33" s="46">
        <f t="shared" si="5"/>
        <v>19.472325852847554</v>
      </c>
      <c r="G33" s="46">
        <f t="shared" si="5"/>
        <v>18.865240087763144</v>
      </c>
      <c r="H33" s="46">
        <f t="shared" si="5"/>
        <v>17.48111677682612</v>
      </c>
      <c r="I33" s="46">
        <f t="shared" si="5"/>
        <v>17.148266333389564</v>
      </c>
    </row>
    <row r="34" spans="1:9" x14ac:dyDescent="0.2">
      <c r="A34" s="44" t="s">
        <v>250</v>
      </c>
      <c r="B34" s="45"/>
      <c r="D34" s="46">
        <f t="shared" ref="D34:I34" si="6">D18/D27*360</f>
        <v>6.7979108510330013</v>
      </c>
      <c r="E34" s="46">
        <f t="shared" si="6"/>
        <v>4.8151299229056086</v>
      </c>
      <c r="F34" s="46">
        <f t="shared" si="6"/>
        <v>8.7399763617918165</v>
      </c>
      <c r="G34" s="46">
        <f t="shared" si="6"/>
        <v>16.005068728953486</v>
      </c>
      <c r="H34" s="46">
        <f t="shared" si="6"/>
        <v>15.502939371112891</v>
      </c>
      <c r="I34" s="46">
        <f t="shared" si="6"/>
        <v>12.502673227286921</v>
      </c>
    </row>
    <row r="35" spans="1:9" x14ac:dyDescent="0.2">
      <c r="A35" s="44" t="s">
        <v>251</v>
      </c>
      <c r="B35" s="45"/>
      <c r="D35" s="46">
        <f t="shared" ref="D35:I35" si="7">D23/D26*360</f>
        <v>32.535590238699598</v>
      </c>
      <c r="E35" s="46">
        <f t="shared" si="7"/>
        <v>28.050604641028436</v>
      </c>
      <c r="F35" s="46">
        <f t="shared" si="7"/>
        <v>28.288033130828445</v>
      </c>
      <c r="G35" s="46">
        <f t="shared" si="7"/>
        <v>42.649897242225975</v>
      </c>
      <c r="H35" s="46">
        <f t="shared" si="7"/>
        <v>45.564880893140447</v>
      </c>
      <c r="I35" s="46">
        <f t="shared" si="7"/>
        <v>44.962385148893603</v>
      </c>
    </row>
    <row r="36" spans="1:9" x14ac:dyDescent="0.2">
      <c r="A36" s="47" t="s">
        <v>252</v>
      </c>
      <c r="B36" s="48"/>
      <c r="D36" s="49">
        <f t="shared" ref="D36:I36" si="8">D33+D34-D35</f>
        <v>-6.1159696017794118</v>
      </c>
      <c r="E36" s="49">
        <f t="shared" si="8"/>
        <v>-5.2694653489104937</v>
      </c>
      <c r="F36" s="49">
        <f t="shared" si="8"/>
        <v>-7.5730916189073127E-2</v>
      </c>
      <c r="G36" s="49">
        <f t="shared" si="8"/>
        <v>-7.7795884255093455</v>
      </c>
      <c r="H36" s="49">
        <f t="shared" si="8"/>
        <v>-12.580824745201433</v>
      </c>
      <c r="I36" s="49">
        <f t="shared" si="8"/>
        <v>-15.311445588217119</v>
      </c>
    </row>
    <row r="38" spans="1:9" x14ac:dyDescent="0.2">
      <c r="A38" s="50" t="s">
        <v>253</v>
      </c>
      <c r="B38" s="51"/>
      <c r="D38" s="52">
        <f t="shared" ref="D38:I38" si="9">D28/D29*100</f>
        <v>22.569470257638933</v>
      </c>
      <c r="E38" s="52">
        <f t="shared" si="9"/>
        <v>26.675957703904167</v>
      </c>
      <c r="F38" s="52">
        <f t="shared" si="9"/>
        <v>19.389283618222294</v>
      </c>
      <c r="G38" s="52">
        <f t="shared" si="9"/>
        <v>12.703099254778206</v>
      </c>
      <c r="H38" s="52">
        <f t="shared" si="9"/>
        <v>16.325683078160967</v>
      </c>
      <c r="I38" s="52">
        <f t="shared" si="9"/>
        <v>22.575798627966748</v>
      </c>
    </row>
    <row r="39" spans="1:9" x14ac:dyDescent="0.2">
      <c r="A39" s="50" t="s">
        <v>254</v>
      </c>
      <c r="B39" s="51"/>
      <c r="D39" s="52">
        <f t="shared" ref="D39:I39" si="10">D28/D30*100</f>
        <v>32.22718906566319</v>
      </c>
      <c r="E39" s="52">
        <f t="shared" si="10"/>
        <v>36.417729524612632</v>
      </c>
      <c r="F39" s="52">
        <f t="shared" si="10"/>
        <v>25.539159689576437</v>
      </c>
      <c r="G39" s="52">
        <f t="shared" si="10"/>
        <v>17.966832967714101</v>
      </c>
      <c r="H39" s="52">
        <f t="shared" si="10"/>
        <v>22.039986790703797</v>
      </c>
      <c r="I39" s="52">
        <f t="shared" si="10"/>
        <v>32.61956729085324</v>
      </c>
    </row>
    <row r="41" spans="1:9" x14ac:dyDescent="0.2">
      <c r="A41" s="2" t="s">
        <v>255</v>
      </c>
      <c r="B41" s="2"/>
      <c r="C41" s="2"/>
      <c r="D41" s="2"/>
      <c r="E41" s="2"/>
      <c r="F41" s="2"/>
      <c r="G41" s="2"/>
      <c r="H41" s="2"/>
      <c r="I41" s="2"/>
    </row>
    <row r="42" spans="1:9" x14ac:dyDescent="0.2">
      <c r="A42" s="2" t="s">
        <v>256</v>
      </c>
      <c r="B42" s="2"/>
      <c r="C42" s="2"/>
      <c r="D42" s="2"/>
      <c r="E42" s="2"/>
      <c r="F42" s="2"/>
      <c r="G42" s="2"/>
      <c r="H42" s="2"/>
      <c r="I42" s="2"/>
    </row>
  </sheetData>
  <mergeCells count="10">
    <mergeCell ref="A20:I20"/>
    <mergeCell ref="A25:I25"/>
    <mergeCell ref="A32:I32"/>
    <mergeCell ref="A41:I41"/>
    <mergeCell ref="A42:I42"/>
    <mergeCell ref="A1:I1"/>
    <mergeCell ref="A2:I2"/>
    <mergeCell ref="A3:I3"/>
    <mergeCell ref="A6:I6"/>
    <mergeCell ref="A11:I1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I1"/>
    </sheetView>
  </sheetViews>
  <sheetFormatPr baseColWidth="10" defaultColWidth="8.6640625" defaultRowHeight="15" x14ac:dyDescent="0.2"/>
  <cols>
    <col min="1" max="1" width="46" customWidth="1"/>
    <col min="2" max="2" width="8" customWidth="1"/>
    <col min="3" max="8" width="13" customWidth="1"/>
    <col min="9" max="9" width="9.1640625" bestFit="1" customWidth="1"/>
  </cols>
  <sheetData>
    <row r="1" spans="1:9" ht="18" x14ac:dyDescent="0.2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16" x14ac:dyDescent="0.2">
      <c r="A2" s="1" t="s">
        <v>257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5" t="s">
        <v>258</v>
      </c>
      <c r="B3" s="5"/>
      <c r="C3" s="5"/>
      <c r="D3" s="5"/>
      <c r="E3" s="5"/>
      <c r="F3" s="5"/>
      <c r="G3" s="5"/>
      <c r="H3" s="5"/>
      <c r="I3" s="5"/>
    </row>
    <row r="5" spans="1:9" x14ac:dyDescent="0.2">
      <c r="A5" s="14" t="s">
        <v>25</v>
      </c>
      <c r="B5" s="14" t="s">
        <v>26</v>
      </c>
      <c r="C5" s="15"/>
      <c r="D5" s="16">
        <v>2020</v>
      </c>
      <c r="E5" s="16">
        <v>2021</v>
      </c>
      <c r="F5" s="16">
        <v>2022</v>
      </c>
      <c r="G5" s="16">
        <v>2023</v>
      </c>
      <c r="H5" s="16">
        <v>2024</v>
      </c>
      <c r="I5" s="16">
        <v>2025</v>
      </c>
    </row>
    <row r="6" spans="1:9" x14ac:dyDescent="0.2">
      <c r="A6" s="4" t="s">
        <v>259</v>
      </c>
      <c r="B6" s="4"/>
      <c r="C6" s="4"/>
      <c r="D6" s="4"/>
      <c r="E6" s="4"/>
      <c r="F6" s="4"/>
      <c r="G6" s="4"/>
      <c r="H6" s="4"/>
      <c r="I6" s="4"/>
    </row>
    <row r="7" spans="1:9" x14ac:dyDescent="0.2">
      <c r="A7" s="17" t="s">
        <v>260</v>
      </c>
      <c r="B7" s="42" t="s">
        <v>39</v>
      </c>
      <c r="D7" s="20">
        <f>ESF!D13</f>
        <v>50084</v>
      </c>
      <c r="E7" s="20">
        <f>ESF!E13</f>
        <v>59856</v>
      </c>
      <c r="F7" s="20">
        <f>ESF!F13</f>
        <v>70544</v>
      </c>
      <c r="G7" s="20">
        <f>ESF!G13</f>
        <v>68270</v>
      </c>
      <c r="H7" s="20">
        <f>ESF!H13</f>
        <v>97619</v>
      </c>
      <c r="I7" s="20">
        <f>ESF!I13</f>
        <v>102859</v>
      </c>
    </row>
    <row r="8" spans="1:9" x14ac:dyDescent="0.2">
      <c r="A8" s="17" t="s">
        <v>261</v>
      </c>
      <c r="B8" s="42" t="s">
        <v>262</v>
      </c>
      <c r="D8" s="20">
        <f>ESF!D10+ESF!D11</f>
        <v>29475</v>
      </c>
      <c r="E8" s="20">
        <f>ESF!E10+ESF!E11</f>
        <v>26775</v>
      </c>
      <c r="F8" s="20">
        <f>ESF!F10+ESF!F11</f>
        <v>74739</v>
      </c>
      <c r="G8" s="20">
        <f>ESF!G10+ESF!G11</f>
        <v>102438</v>
      </c>
      <c r="H8" s="20">
        <f>ESF!H10+ESF!H11</f>
        <v>123607</v>
      </c>
      <c r="I8" s="20">
        <f>ESF!I10+ESF!I11</f>
        <v>117713</v>
      </c>
    </row>
    <row r="9" spans="1:9" x14ac:dyDescent="0.2">
      <c r="A9" s="17" t="s">
        <v>263</v>
      </c>
      <c r="B9" s="42" t="s">
        <v>59</v>
      </c>
      <c r="D9" s="20">
        <f>ESF!D28</f>
        <v>85609</v>
      </c>
      <c r="E9" s="20">
        <f>ESF!E28</f>
        <v>86042</v>
      </c>
      <c r="F9" s="20">
        <f>ESF!F28</f>
        <v>103394</v>
      </c>
      <c r="G9" s="20">
        <f>ESF!G28</f>
        <v>210432</v>
      </c>
      <c r="H9" s="20">
        <f>ESF!H28</f>
        <v>221961</v>
      </c>
      <c r="I9" s="20">
        <f>ESF!I28</f>
        <v>303688</v>
      </c>
    </row>
    <row r="10" spans="1:9" x14ac:dyDescent="0.2">
      <c r="A10" s="17" t="s">
        <v>243</v>
      </c>
      <c r="B10" s="42" t="s">
        <v>98</v>
      </c>
      <c r="D10" s="20">
        <f>ABS(ERI!D7)</f>
        <v>866319</v>
      </c>
      <c r="E10" s="20">
        <f>ABS(ERI!E7)</f>
        <v>1101480</v>
      </c>
      <c r="F10" s="20">
        <f>ABS(ERI!F7)</f>
        <v>1205403</v>
      </c>
      <c r="G10" s="20">
        <f>ABS(ERI!G7)</f>
        <v>1324474</v>
      </c>
      <c r="H10" s="20">
        <f>ABS(ERI!H7)</f>
        <v>1708130</v>
      </c>
      <c r="I10" s="20">
        <f>ABS(ERI!I7)</f>
        <v>2104355</v>
      </c>
    </row>
    <row r="11" spans="1:9" x14ac:dyDescent="0.2">
      <c r="A11" s="17" t="s">
        <v>244</v>
      </c>
      <c r="B11" s="42" t="s">
        <v>96</v>
      </c>
      <c r="D11" s="20">
        <f>ERI!D6</f>
        <v>1663261</v>
      </c>
      <c r="E11" s="20">
        <f>ERI!E6</f>
        <v>2102747</v>
      </c>
      <c r="F11" s="20">
        <f>ERI!F6</f>
        <v>2090683</v>
      </c>
      <c r="G11" s="20">
        <f>ERI!G6</f>
        <v>1992610</v>
      </c>
      <c r="H11" s="20">
        <f>ERI!H6</f>
        <v>2624541</v>
      </c>
      <c r="I11" s="20">
        <f>ERI!I6</f>
        <v>3474265</v>
      </c>
    </row>
    <row r="12" spans="1:9" x14ac:dyDescent="0.2">
      <c r="A12" s="17" t="s">
        <v>245</v>
      </c>
      <c r="B12" s="32"/>
      <c r="D12" s="20">
        <f>ERI!D22</f>
        <v>385559</v>
      </c>
      <c r="E12" s="20">
        <f>ERI!E22</f>
        <v>552792</v>
      </c>
      <c r="F12" s="20">
        <f>ERI!F22</f>
        <v>407345</v>
      </c>
      <c r="G12" s="20">
        <f>ERI!G22</f>
        <v>295664</v>
      </c>
      <c r="H12" s="20">
        <f>ERI!H22</f>
        <v>415128</v>
      </c>
      <c r="I12" s="20">
        <f>ERI!I22</f>
        <v>719907</v>
      </c>
    </row>
    <row r="13" spans="1:9" x14ac:dyDescent="0.2">
      <c r="A13" s="17" t="s">
        <v>246</v>
      </c>
      <c r="B13" s="32"/>
      <c r="D13" s="20">
        <f>ESF!D24</f>
        <v>1708321</v>
      </c>
      <c r="E13" s="20">
        <f>ESF!E24</f>
        <v>2072248</v>
      </c>
      <c r="F13" s="20">
        <f>ESF!F24</f>
        <v>2100877</v>
      </c>
      <c r="G13" s="20">
        <f>ESF!G24</f>
        <v>2327495</v>
      </c>
      <c r="H13" s="20">
        <f>ESF!H24</f>
        <v>2542791</v>
      </c>
      <c r="I13" s="20">
        <f>ESF!I24</f>
        <v>3188844</v>
      </c>
    </row>
    <row r="14" spans="1:9" x14ac:dyDescent="0.2">
      <c r="A14" s="17" t="s">
        <v>247</v>
      </c>
      <c r="B14" s="32"/>
      <c r="D14" s="20">
        <f>ESF!D51</f>
        <v>1196378</v>
      </c>
      <c r="E14" s="20">
        <f>ESF!E51</f>
        <v>1517920</v>
      </c>
      <c r="F14" s="20">
        <f>ESF!F51</f>
        <v>1594982</v>
      </c>
      <c r="G14" s="20">
        <f>ESF!G51</f>
        <v>1645610</v>
      </c>
      <c r="H14" s="20">
        <f>ESF!H51</f>
        <v>1883522</v>
      </c>
      <c r="I14" s="20">
        <f>ESF!I51</f>
        <v>2206979</v>
      </c>
    </row>
    <row r="16" spans="1:9" x14ac:dyDescent="0.2">
      <c r="A16" s="4" t="s">
        <v>264</v>
      </c>
      <c r="B16" s="4"/>
      <c r="C16" s="4"/>
      <c r="D16" s="4"/>
      <c r="E16" s="4"/>
      <c r="F16" s="4"/>
      <c r="G16" s="4"/>
      <c r="H16" s="4"/>
      <c r="I16" s="4"/>
    </row>
    <row r="17" spans="1:9" x14ac:dyDescent="0.2">
      <c r="A17" s="44" t="s">
        <v>265</v>
      </c>
      <c r="B17" s="45"/>
      <c r="D17" s="46">
        <f t="shared" ref="D17:I18" si="0">D7/D10*360</f>
        <v>20.812472080145998</v>
      </c>
      <c r="E17" s="46">
        <f t="shared" si="0"/>
        <v>19.56291535025602</v>
      </c>
      <c r="F17" s="46">
        <f t="shared" si="0"/>
        <v>21.068339800050275</v>
      </c>
      <c r="G17" s="46">
        <f t="shared" si="0"/>
        <v>18.556196648631836</v>
      </c>
      <c r="H17" s="46">
        <f t="shared" si="0"/>
        <v>20.57386732859911</v>
      </c>
      <c r="I17" s="46">
        <f t="shared" si="0"/>
        <v>17.596479681422576</v>
      </c>
    </row>
    <row r="18" spans="1:9" x14ac:dyDescent="0.2">
      <c r="A18" s="44" t="s">
        <v>266</v>
      </c>
      <c r="B18" s="45"/>
      <c r="D18" s="46">
        <f t="shared" si="0"/>
        <v>6.379636148505857</v>
      </c>
      <c r="E18" s="46">
        <f t="shared" si="0"/>
        <v>4.5840036866061391</v>
      </c>
      <c r="F18" s="46">
        <f t="shared" si="0"/>
        <v>12.869497671335157</v>
      </c>
      <c r="G18" s="46">
        <f t="shared" si="0"/>
        <v>18.507224193394595</v>
      </c>
      <c r="H18" s="46">
        <f t="shared" si="0"/>
        <v>16.95478180756178</v>
      </c>
      <c r="I18" s="46">
        <f t="shared" si="0"/>
        <v>12.19730791980462</v>
      </c>
    </row>
    <row r="19" spans="1:9" x14ac:dyDescent="0.2">
      <c r="A19" s="44" t="s">
        <v>267</v>
      </c>
      <c r="B19" s="45"/>
      <c r="D19" s="46">
        <f t="shared" ref="D19:I19" si="1">D9/D10*360</f>
        <v>35.574932559484438</v>
      </c>
      <c r="E19" s="46">
        <f t="shared" si="1"/>
        <v>28.121363983004684</v>
      </c>
      <c r="F19" s="46">
        <f t="shared" si="1"/>
        <v>30.879166552596931</v>
      </c>
      <c r="G19" s="46">
        <f t="shared" si="1"/>
        <v>57.196683362602819</v>
      </c>
      <c r="H19" s="46">
        <f t="shared" si="1"/>
        <v>46.779788423597729</v>
      </c>
      <c r="I19" s="46">
        <f t="shared" si="1"/>
        <v>51.953059250934373</v>
      </c>
    </row>
    <row r="20" spans="1:9" x14ac:dyDescent="0.2">
      <c r="A20" s="47" t="s">
        <v>268</v>
      </c>
      <c r="B20" s="48"/>
      <c r="D20" s="49">
        <f t="shared" ref="D20:I20" si="2">D17+D18-D19</f>
        <v>-8.3828243308325838</v>
      </c>
      <c r="E20" s="49">
        <f t="shared" si="2"/>
        <v>-3.9744449461425262</v>
      </c>
      <c r="F20" s="49">
        <f t="shared" si="2"/>
        <v>3.0586709187885042</v>
      </c>
      <c r="G20" s="49">
        <f t="shared" si="2"/>
        <v>-20.133262520576388</v>
      </c>
      <c r="H20" s="49">
        <f t="shared" si="2"/>
        <v>-9.2511392874368354</v>
      </c>
      <c r="I20" s="49">
        <f t="shared" si="2"/>
        <v>-22.159271649707179</v>
      </c>
    </row>
    <row r="22" spans="1:9" x14ac:dyDescent="0.2">
      <c r="A22" s="50" t="s">
        <v>269</v>
      </c>
      <c r="B22" s="51"/>
      <c r="D22" s="52">
        <f t="shared" ref="D22:I22" si="3">D12/D13*100</f>
        <v>22.569470257638933</v>
      </c>
      <c r="E22" s="52">
        <f t="shared" si="3"/>
        <v>26.675957703904167</v>
      </c>
      <c r="F22" s="52">
        <f t="shared" si="3"/>
        <v>19.389283618222294</v>
      </c>
      <c r="G22" s="52">
        <f t="shared" si="3"/>
        <v>12.703099254778206</v>
      </c>
      <c r="H22" s="52">
        <f t="shared" si="3"/>
        <v>16.325683078160967</v>
      </c>
      <c r="I22" s="52">
        <f t="shared" si="3"/>
        <v>22.575798627966748</v>
      </c>
    </row>
    <row r="23" spans="1:9" x14ac:dyDescent="0.2">
      <c r="A23" s="50" t="s">
        <v>270</v>
      </c>
      <c r="B23" s="51"/>
      <c r="D23" s="52">
        <f t="shared" ref="D23:I23" si="4">D12/D14*100</f>
        <v>32.22718906566319</v>
      </c>
      <c r="E23" s="52">
        <f t="shared" si="4"/>
        <v>36.417729524612632</v>
      </c>
      <c r="F23" s="52">
        <f t="shared" si="4"/>
        <v>25.539159689576437</v>
      </c>
      <c r="G23" s="52">
        <f t="shared" si="4"/>
        <v>17.966832967714101</v>
      </c>
      <c r="H23" s="52">
        <f t="shared" si="4"/>
        <v>22.039986790703797</v>
      </c>
      <c r="I23" s="52">
        <f t="shared" si="4"/>
        <v>32.61956729085324</v>
      </c>
    </row>
    <row r="25" spans="1:9" x14ac:dyDescent="0.2">
      <c r="A25" s="2" t="s">
        <v>271</v>
      </c>
      <c r="B25" s="2"/>
      <c r="C25" s="2"/>
      <c r="D25" s="2"/>
      <c r="E25" s="2"/>
      <c r="F25" s="2"/>
      <c r="G25" s="2"/>
      <c r="H25" s="2"/>
      <c r="I25" s="2"/>
    </row>
  </sheetData>
  <mergeCells count="6">
    <mergeCell ref="A25:I25"/>
    <mergeCell ref="A1:I1"/>
    <mergeCell ref="A2:I2"/>
    <mergeCell ref="A3:I3"/>
    <mergeCell ref="A6:I6"/>
    <mergeCell ref="A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26" sqref="F26"/>
    </sheetView>
  </sheetViews>
  <sheetFormatPr baseColWidth="10" defaultColWidth="8.6640625" defaultRowHeight="15" x14ac:dyDescent="0.2"/>
  <cols>
    <col min="1" max="1" width="22" customWidth="1"/>
    <col min="2" max="2" width="8" customWidth="1"/>
    <col min="3" max="7" width="13" customWidth="1"/>
  </cols>
  <sheetData>
    <row r="1" spans="1:7" ht="18" x14ac:dyDescent="0.2">
      <c r="A1" s="7" t="s">
        <v>0</v>
      </c>
      <c r="B1" s="7"/>
      <c r="C1" s="7"/>
      <c r="D1" s="7"/>
      <c r="E1" s="7"/>
      <c r="F1" s="7"/>
      <c r="G1" s="7"/>
    </row>
    <row r="2" spans="1:7" ht="16" x14ac:dyDescent="0.2">
      <c r="A2" s="1" t="s">
        <v>272</v>
      </c>
      <c r="B2" s="1"/>
      <c r="C2" s="1"/>
      <c r="D2" s="1"/>
      <c r="E2" s="1"/>
      <c r="F2" s="1"/>
      <c r="G2" s="1"/>
    </row>
    <row r="3" spans="1:7" x14ac:dyDescent="0.2">
      <c r="A3" s="5" t="s">
        <v>273</v>
      </c>
      <c r="B3" s="5"/>
      <c r="C3" s="5"/>
      <c r="D3" s="5"/>
      <c r="E3" s="5"/>
      <c r="F3" s="5"/>
      <c r="G3" s="5"/>
    </row>
    <row r="5" spans="1:7" x14ac:dyDescent="0.2">
      <c r="A5" s="53" t="s">
        <v>274</v>
      </c>
      <c r="B5" s="53" t="s">
        <v>275</v>
      </c>
      <c r="C5" s="53" t="s">
        <v>276</v>
      </c>
      <c r="D5" s="53" t="s">
        <v>277</v>
      </c>
      <c r="E5" s="53" t="s">
        <v>278</v>
      </c>
      <c r="F5" s="53" t="s">
        <v>279</v>
      </c>
      <c r="G5" s="53" t="s">
        <v>280</v>
      </c>
    </row>
    <row r="6" spans="1:7" x14ac:dyDescent="0.2">
      <c r="A6" s="17" t="s">
        <v>265</v>
      </c>
      <c r="B6" s="54">
        <f>COUNT(Cap3_Ficha_Promedio!D33:I33)</f>
        <v>6</v>
      </c>
      <c r="C6" s="55">
        <f>AVERAGE(Cap3_Ficha_Promedio!D33:I33)</f>
        <v>18.425778034320984</v>
      </c>
      <c r="D6" s="55">
        <f>STDEV(Cap3_Ficha_Promedio!D33:I33)</f>
        <v>1.0444568205652907</v>
      </c>
      <c r="E6" s="55">
        <f>MIN(Cap3_Ficha_Promedio!D33:I33)</f>
        <v>17.148266333389564</v>
      </c>
      <c r="F6" s="55">
        <f>MAX(Cap3_Ficha_Promedio!D33:I33)</f>
        <v>19.621709785887184</v>
      </c>
      <c r="G6" s="56">
        <f t="shared" ref="G6:G11" si="0">ABS(D6/C6)*100</f>
        <v>5.6684543720206619</v>
      </c>
    </row>
    <row r="7" spans="1:7" x14ac:dyDescent="0.2">
      <c r="A7" s="17" t="s">
        <v>266</v>
      </c>
      <c r="B7" s="54">
        <f>COUNT(Cap3_Ficha_Promedio!D34:I34)</f>
        <v>6</v>
      </c>
      <c r="C7" s="55">
        <f>AVERAGE(Cap3_Ficha_Promedio!D34:I34)</f>
        <v>10.727283077180621</v>
      </c>
      <c r="D7" s="55">
        <f>STDEV(Cap3_Ficha_Promedio!D34:I34)</f>
        <v>4.6509533130570704</v>
      </c>
      <c r="E7" s="55">
        <f>MIN(Cap3_Ficha_Promedio!D34:I34)</f>
        <v>4.8151299229056086</v>
      </c>
      <c r="F7" s="55">
        <f>MAX(Cap3_Ficha_Promedio!D34:I34)</f>
        <v>16.005068728953486</v>
      </c>
      <c r="G7" s="56">
        <f t="shared" si="0"/>
        <v>43.356302612641123</v>
      </c>
    </row>
    <row r="8" spans="1:7" x14ac:dyDescent="0.2">
      <c r="A8" s="17" t="s">
        <v>267</v>
      </c>
      <c r="B8" s="54">
        <f>COUNT(Cap3_Ficha_Promedio!D35:I35)</f>
        <v>6</v>
      </c>
      <c r="C8" s="55">
        <f>AVERAGE(Cap3_Ficha_Promedio!D35:I35)</f>
        <v>37.008565215802747</v>
      </c>
      <c r="D8" s="55">
        <f>STDEV(Cap3_Ficha_Promedio!D35:I35)</f>
        <v>8.3017908812581513</v>
      </c>
      <c r="E8" s="55">
        <f>MIN(Cap3_Ficha_Promedio!D35:I35)</f>
        <v>28.050604641028436</v>
      </c>
      <c r="F8" s="55">
        <f>MAX(Cap3_Ficha_Promedio!D35:I35)</f>
        <v>45.564880893140447</v>
      </c>
      <c r="G8" s="56">
        <f t="shared" si="0"/>
        <v>22.43207979787681</v>
      </c>
    </row>
    <row r="9" spans="1:7" x14ac:dyDescent="0.2">
      <c r="A9" s="17" t="s">
        <v>281</v>
      </c>
      <c r="B9" s="54">
        <f>COUNT(Cap3_Ficha_Promedio!D36:I36)</f>
        <v>6</v>
      </c>
      <c r="C9" s="55">
        <f>AVERAGE(Cap3_Ficha_Promedio!D36:I36)</f>
        <v>-7.8555041043011462</v>
      </c>
      <c r="D9" s="55">
        <f>STDEV(Cap3_Ficha_Promedio!D36:I36)</f>
        <v>5.4436004509790639</v>
      </c>
      <c r="E9" s="55">
        <f>MIN(Cap3_Ficha_Promedio!D36:I36)</f>
        <v>-15.311445588217119</v>
      </c>
      <c r="F9" s="55">
        <f>MAX(Cap3_Ficha_Promedio!D36:I36)</f>
        <v>-7.5730916189073127E-2</v>
      </c>
      <c r="G9" s="56">
        <f t="shared" si="0"/>
        <v>69.296640657326037</v>
      </c>
    </row>
    <row r="10" spans="1:7" x14ac:dyDescent="0.2">
      <c r="A10" s="17" t="s">
        <v>269</v>
      </c>
      <c r="B10" s="54">
        <f>COUNT(Cap3_Ficha_Promedio!D38:I38)</f>
        <v>6</v>
      </c>
      <c r="C10" s="55">
        <f>AVERAGE(Cap3_Ficha_Promedio!D38:I38)</f>
        <v>20.039882090111885</v>
      </c>
      <c r="D10" s="55">
        <f>STDEV(Cap3_Ficha_Promedio!D38:I38)</f>
        <v>4.9982821765297674</v>
      </c>
      <c r="E10" s="55">
        <f>MIN(Cap3_Ficha_Promedio!D38:I38)</f>
        <v>12.703099254778206</v>
      </c>
      <c r="F10" s="55">
        <f>MAX(Cap3_Ficha_Promedio!D38:I38)</f>
        <v>26.675957703904167</v>
      </c>
      <c r="G10" s="56">
        <f t="shared" si="0"/>
        <v>24.94167457699778</v>
      </c>
    </row>
    <row r="11" spans="1:7" x14ac:dyDescent="0.2">
      <c r="A11" s="17" t="s">
        <v>270</v>
      </c>
      <c r="B11" s="54">
        <f>COUNT(Cap3_Ficha_Promedio!D39:I39)</f>
        <v>6</v>
      </c>
      <c r="C11" s="55">
        <f>AVERAGE(Cap3_Ficha_Promedio!D39:I39)</f>
        <v>27.801744221520565</v>
      </c>
      <c r="D11" s="55">
        <f>STDEV(Cap3_Ficha_Promedio!D39:I39)</f>
        <v>7.1003352141297684</v>
      </c>
      <c r="E11" s="55">
        <f>MIN(Cap3_Ficha_Promedio!D39:I39)</f>
        <v>17.966832967714101</v>
      </c>
      <c r="F11" s="55">
        <f>MAX(Cap3_Ficha_Promedio!D39:I39)</f>
        <v>36.417729524612632</v>
      </c>
      <c r="G11" s="56">
        <f t="shared" si="0"/>
        <v>25.539171778415238</v>
      </c>
    </row>
    <row r="13" spans="1:7" x14ac:dyDescent="0.2">
      <c r="A13" s="2" t="s">
        <v>282</v>
      </c>
      <c r="B13" s="2"/>
      <c r="C13" s="2"/>
      <c r="D13" s="2"/>
      <c r="E13" s="2"/>
      <c r="F13" s="2"/>
      <c r="G13" s="2"/>
    </row>
    <row r="14" spans="1:7" x14ac:dyDescent="0.2">
      <c r="A14" s="2" t="s">
        <v>283</v>
      </c>
      <c r="B14" s="2"/>
      <c r="C14" s="2"/>
      <c r="D14" s="2"/>
      <c r="E14" s="2"/>
      <c r="F14" s="2"/>
      <c r="G14" s="2"/>
    </row>
  </sheetData>
  <mergeCells count="5">
    <mergeCell ref="A1:G1"/>
    <mergeCell ref="A2:G2"/>
    <mergeCell ref="A3:G3"/>
    <mergeCell ref="A13:G13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4"/>
  <sheetViews>
    <sheetView showGridLines="0" zoomScaleNormal="100" workbookViewId="0">
      <pane ySplit="5" topLeftCell="A6" activePane="bottomLeft" state="frozen"/>
      <selection pane="bottomLeft" activeCell="D36" sqref="D36"/>
    </sheetView>
  </sheetViews>
  <sheetFormatPr baseColWidth="10" defaultColWidth="8.6640625" defaultRowHeight="15" x14ac:dyDescent="0.2"/>
  <cols>
    <col min="1" max="1" width="16" customWidth="1"/>
    <col min="2" max="3" width="14" customWidth="1"/>
    <col min="4" max="4" width="34" customWidth="1"/>
  </cols>
  <sheetData>
    <row r="1" spans="1:4" ht="18" x14ac:dyDescent="0.2">
      <c r="A1" s="7" t="s">
        <v>0</v>
      </c>
      <c r="B1" s="7"/>
      <c r="C1" s="7"/>
      <c r="D1" s="7"/>
    </row>
    <row r="2" spans="1:4" ht="16" x14ac:dyDescent="0.2">
      <c r="A2" s="1" t="s">
        <v>284</v>
      </c>
      <c r="B2" s="1"/>
      <c r="C2" s="1"/>
      <c r="D2" s="1"/>
    </row>
    <row r="3" spans="1:4" x14ac:dyDescent="0.2">
      <c r="A3" s="5" t="s">
        <v>285</v>
      </c>
      <c r="B3" s="5"/>
      <c r="C3" s="5"/>
      <c r="D3" s="5"/>
    </row>
    <row r="5" spans="1:4" x14ac:dyDescent="0.2">
      <c r="A5" s="53" t="s">
        <v>274</v>
      </c>
      <c r="B5" s="53" t="s">
        <v>286</v>
      </c>
      <c r="C5" s="53" t="s">
        <v>287</v>
      </c>
      <c r="D5" s="53" t="s">
        <v>288</v>
      </c>
    </row>
    <row r="6" spans="1:4" x14ac:dyDescent="0.2">
      <c r="A6" s="42" t="s">
        <v>289</v>
      </c>
      <c r="B6" s="57">
        <v>0.91059999999999997</v>
      </c>
      <c r="C6" s="58">
        <v>0.4405</v>
      </c>
      <c r="D6" s="42" t="str">
        <f t="shared" ref="D6:D11" si="0">IF(C6&gt;0.05,"No se rechaza H0 -&gt; distribución normal","Se rechaza H0 -&gt; NO normal")</f>
        <v>No se rechaza H0 -&gt; distribución normal</v>
      </c>
    </row>
    <row r="7" spans="1:4" x14ac:dyDescent="0.2">
      <c r="A7" s="42" t="s">
        <v>290</v>
      </c>
      <c r="B7" s="57">
        <v>0.91910000000000003</v>
      </c>
      <c r="C7" s="58">
        <v>0.49909999999999999</v>
      </c>
      <c r="D7" s="42" t="str">
        <f t="shared" si="0"/>
        <v>No se rechaza H0 -&gt; distribución normal</v>
      </c>
    </row>
    <row r="8" spans="1:4" x14ac:dyDescent="0.2">
      <c r="A8" s="42" t="s">
        <v>291</v>
      </c>
      <c r="B8" s="57">
        <v>0.82240000000000002</v>
      </c>
      <c r="C8" s="58">
        <v>9.2600000000000002E-2</v>
      </c>
      <c r="D8" s="42" t="str">
        <f t="shared" si="0"/>
        <v>No se rechaza H0 -&gt; distribución normal</v>
      </c>
    </row>
    <row r="9" spans="1:4" x14ac:dyDescent="0.2">
      <c r="A9" s="42" t="s">
        <v>292</v>
      </c>
      <c r="B9" s="57">
        <v>0.97109999999999996</v>
      </c>
      <c r="C9" s="58">
        <v>0.9</v>
      </c>
      <c r="D9" s="42" t="str">
        <f t="shared" si="0"/>
        <v>No se rechaza H0 -&gt; distribución normal</v>
      </c>
    </row>
    <row r="10" spans="1:4" x14ac:dyDescent="0.2">
      <c r="A10" s="42" t="s">
        <v>293</v>
      </c>
      <c r="B10" s="57">
        <v>0.97209999999999996</v>
      </c>
      <c r="C10" s="58">
        <v>0.90600000000000003</v>
      </c>
      <c r="D10" s="42" t="str">
        <f t="shared" si="0"/>
        <v>No se rechaza H0 -&gt; distribución normal</v>
      </c>
    </row>
    <row r="11" spans="1:4" x14ac:dyDescent="0.2">
      <c r="A11" s="42" t="s">
        <v>294</v>
      </c>
      <c r="B11" s="57">
        <v>0.94369999999999998</v>
      </c>
      <c r="C11" s="58">
        <v>0.68920000000000003</v>
      </c>
      <c r="D11" s="42" t="str">
        <f t="shared" si="0"/>
        <v>No se rechaza H0 -&gt; distribución normal</v>
      </c>
    </row>
    <row r="13" spans="1:4" x14ac:dyDescent="0.2">
      <c r="A13" s="2" t="s">
        <v>295</v>
      </c>
      <c r="B13" s="2"/>
      <c r="C13" s="2"/>
      <c r="D13" s="2"/>
    </row>
    <row r="14" spans="1:4" x14ac:dyDescent="0.2">
      <c r="A14" s="2" t="s">
        <v>296</v>
      </c>
      <c r="B14" s="2"/>
      <c r="C14" s="2"/>
      <c r="D14" s="2"/>
    </row>
  </sheetData>
  <mergeCells count="5">
    <mergeCell ref="A1:D1"/>
    <mergeCell ref="A2:D2"/>
    <mergeCell ref="A3:D3"/>
    <mergeCell ref="A13:D13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6"/>
  <sheetViews>
    <sheetView showGridLines="0" tabSelected="1" zoomScaleNormal="100" workbookViewId="0">
      <pane ySplit="5" topLeftCell="A6" activePane="bottomLeft" state="frozen"/>
      <selection pane="bottomLeft" activeCell="F25" sqref="F25"/>
    </sheetView>
  </sheetViews>
  <sheetFormatPr baseColWidth="10" defaultColWidth="8.6640625" defaultRowHeight="15" x14ac:dyDescent="0.2"/>
  <cols>
    <col min="1" max="1" width="10" customWidth="1"/>
    <col min="2" max="3" width="9" customWidth="1"/>
    <col min="4" max="4" width="12" customWidth="1"/>
    <col min="5" max="5" width="10" customWidth="1"/>
    <col min="6" max="6" width="9" customWidth="1"/>
    <col min="7" max="7" width="16" customWidth="1"/>
    <col min="8" max="8" width="12" customWidth="1"/>
    <col min="9" max="9" width="22" customWidth="1"/>
  </cols>
  <sheetData>
    <row r="1" spans="1:9" ht="18" x14ac:dyDescent="0.2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16" x14ac:dyDescent="0.2">
      <c r="A2" s="1" t="s">
        <v>297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5" t="s">
        <v>298</v>
      </c>
      <c r="B3" s="5"/>
      <c r="C3" s="5"/>
      <c r="D3" s="5"/>
      <c r="E3" s="5"/>
      <c r="F3" s="5"/>
      <c r="G3" s="5"/>
      <c r="H3" s="5"/>
      <c r="I3" s="5"/>
    </row>
    <row r="5" spans="1:9" ht="29" x14ac:dyDescent="0.2">
      <c r="A5" s="59" t="s">
        <v>299</v>
      </c>
      <c r="B5" s="59" t="s">
        <v>300</v>
      </c>
      <c r="C5" s="59" t="s">
        <v>301</v>
      </c>
      <c r="D5" s="59" t="s">
        <v>302</v>
      </c>
      <c r="E5" s="59" t="s">
        <v>303</v>
      </c>
      <c r="F5" s="59" t="s">
        <v>304</v>
      </c>
      <c r="G5" s="59" t="s">
        <v>305</v>
      </c>
      <c r="H5" s="59" t="s">
        <v>306</v>
      </c>
      <c r="I5" s="59" t="s">
        <v>307</v>
      </c>
    </row>
    <row r="6" spans="1:9" x14ac:dyDescent="0.2">
      <c r="A6" s="60" t="s">
        <v>308</v>
      </c>
      <c r="B6" s="60" t="s">
        <v>289</v>
      </c>
      <c r="C6" s="60" t="s">
        <v>293</v>
      </c>
      <c r="D6" s="61">
        <f>PEARSON(Cap3_Ficha_Promedio!D33:I33,Cap3_Ficha_Promedio!D38:I38)</f>
        <v>-0.14029212138665198</v>
      </c>
      <c r="E6" s="62">
        <f t="shared" ref="E6:E13" si="0">D6*SQRT(F6)/SQRT(1-D6^2)</f>
        <v>-0.28338689500484715</v>
      </c>
      <c r="F6" s="63">
        <f>COUNT(Cap3_Ficha_Promedio!D33:I33)-2</f>
        <v>4</v>
      </c>
      <c r="G6" s="64">
        <f t="shared" ref="G6:G13" si="1">TDIST(ABS(E6),F6,2)</f>
        <v>0.79094242422158356</v>
      </c>
      <c r="H6" s="18" t="str">
        <f t="shared" ref="H6:H13" si="2">IF(ABS(D6)&lt;0.1,"Trivial/nula",IF(ABS(D6)&lt;0.3,"Débil",IF(ABS(D6)&lt;0.5,"Moderada","Fuerte")))</f>
        <v>Débil</v>
      </c>
      <c r="I6" s="18" t="str">
        <f t="shared" ref="I6:I13" si="3">IF(G6&lt;0.05,"Se rechaza H0 (significativa)","No se rechaza H0")</f>
        <v>No se rechaza H0</v>
      </c>
    </row>
    <row r="7" spans="1:9" x14ac:dyDescent="0.2">
      <c r="A7" s="60" t="s">
        <v>308</v>
      </c>
      <c r="B7" s="60" t="s">
        <v>289</v>
      </c>
      <c r="C7" s="60" t="s">
        <v>294</v>
      </c>
      <c r="D7" s="61">
        <f>PEARSON(Cap3_Ficha_Promedio!D33:I33,Cap3_Ficha_Promedio!D39:I39)</f>
        <v>-0.16371965665294505</v>
      </c>
      <c r="E7" s="62">
        <f t="shared" si="0"/>
        <v>-0.33191791317107044</v>
      </c>
      <c r="F7" s="63">
        <f>COUNT(Cap3_Ficha_Promedio!D33:I33)-2</f>
        <v>4</v>
      </c>
      <c r="G7" s="64">
        <f t="shared" si="1"/>
        <v>0.75661469617130095</v>
      </c>
      <c r="H7" s="18" t="str">
        <f t="shared" si="2"/>
        <v>Débil</v>
      </c>
      <c r="I7" s="18" t="str">
        <f t="shared" si="3"/>
        <v>No se rechaza H0</v>
      </c>
    </row>
    <row r="8" spans="1:9" x14ac:dyDescent="0.2">
      <c r="A8" s="60" t="s">
        <v>309</v>
      </c>
      <c r="B8" s="60" t="s">
        <v>290</v>
      </c>
      <c r="C8" s="60" t="s">
        <v>293</v>
      </c>
      <c r="D8" s="61">
        <f>PEARSON(Cap3_Ficha_Promedio!D34:I34,Cap3_Ficha_Promedio!D38:I38)</f>
        <v>-0.8589381122776012</v>
      </c>
      <c r="E8" s="62">
        <f t="shared" si="0"/>
        <v>-3.3547067122903456</v>
      </c>
      <c r="F8" s="63">
        <f>COUNT(Cap3_Ficha_Promedio!D34:I34)-2</f>
        <v>4</v>
      </c>
      <c r="G8" s="64">
        <f t="shared" si="1"/>
        <v>2.8444227356813862E-2</v>
      </c>
      <c r="H8" s="18" t="str">
        <f t="shared" si="2"/>
        <v>Fuerte</v>
      </c>
      <c r="I8" s="18" t="str">
        <f t="shared" si="3"/>
        <v>Se rechaza H0 (significativa)</v>
      </c>
    </row>
    <row r="9" spans="1:9" x14ac:dyDescent="0.2">
      <c r="A9" s="60" t="s">
        <v>309</v>
      </c>
      <c r="B9" s="60" t="s">
        <v>290</v>
      </c>
      <c r="C9" s="60" t="s">
        <v>294</v>
      </c>
      <c r="D9" s="61">
        <f>PEARSON(Cap3_Ficha_Promedio!D34:I34,Cap3_Ficha_Promedio!D39:I39)</f>
        <v>-0.81579305398962554</v>
      </c>
      <c r="E9" s="62">
        <f t="shared" si="0"/>
        <v>-2.8211346978887288</v>
      </c>
      <c r="F9" s="63">
        <f>COUNT(Cap3_Ficha_Promedio!D34:I34)-2</f>
        <v>4</v>
      </c>
      <c r="G9" s="64">
        <f t="shared" si="1"/>
        <v>4.7773025066925559E-2</v>
      </c>
      <c r="H9" s="18" t="str">
        <f t="shared" si="2"/>
        <v>Fuerte</v>
      </c>
      <c r="I9" s="18" t="str">
        <f t="shared" si="3"/>
        <v>Se rechaza H0 (significativa)</v>
      </c>
    </row>
    <row r="10" spans="1:9" x14ac:dyDescent="0.2">
      <c r="A10" s="60" t="s">
        <v>310</v>
      </c>
      <c r="B10" s="60" t="s">
        <v>291</v>
      </c>
      <c r="C10" s="60" t="s">
        <v>293</v>
      </c>
      <c r="D10" s="61">
        <f>PEARSON(Cap3_Ficha_Promedio!D35:I35,Cap3_Ficha_Promedio!D38:I38)</f>
        <v>-0.56916090946666242</v>
      </c>
      <c r="E10" s="62">
        <f t="shared" si="0"/>
        <v>-1.3844388241506236</v>
      </c>
      <c r="F10" s="63">
        <f>COUNT(Cap3_Ficha_Promedio!D35:I35)-2</f>
        <v>4</v>
      </c>
      <c r="G10" s="64">
        <f t="shared" si="1"/>
        <v>0.238446806715543</v>
      </c>
      <c r="H10" s="18" t="str">
        <f t="shared" si="2"/>
        <v>Fuerte</v>
      </c>
      <c r="I10" s="18" t="str">
        <f t="shared" si="3"/>
        <v>No se rechaza H0</v>
      </c>
    </row>
    <row r="11" spans="1:9" x14ac:dyDescent="0.2">
      <c r="A11" s="60" t="s">
        <v>310</v>
      </c>
      <c r="B11" s="60" t="s">
        <v>291</v>
      </c>
      <c r="C11" s="60" t="s">
        <v>294</v>
      </c>
      <c r="D11" s="61">
        <f>PEARSON(Cap3_Ficha_Promedio!D35:I35,Cap3_Ficha_Promedio!D39:I39)</f>
        <v>-0.48759258079057488</v>
      </c>
      <c r="E11" s="62">
        <f t="shared" si="0"/>
        <v>-1.1169593757109408</v>
      </c>
      <c r="F11" s="63">
        <f>COUNT(Cap3_Ficha_Promedio!D35:I35)-2</f>
        <v>4</v>
      </c>
      <c r="G11" s="64">
        <f t="shared" si="1"/>
        <v>0.32657284962499167</v>
      </c>
      <c r="H11" s="18" t="str">
        <f t="shared" si="2"/>
        <v>Moderada</v>
      </c>
      <c r="I11" s="18" t="str">
        <f t="shared" si="3"/>
        <v>No se rechaza H0</v>
      </c>
    </row>
    <row r="12" spans="1:9" x14ac:dyDescent="0.2">
      <c r="A12" s="60" t="s">
        <v>311</v>
      </c>
      <c r="B12" s="60" t="s">
        <v>292</v>
      </c>
      <c r="C12" s="60" t="s">
        <v>293</v>
      </c>
      <c r="D12" s="61">
        <f>PEARSON(Cap3_Ficha_Promedio!D36:I36,Cap3_Ficha_Promedio!D38:I38)</f>
        <v>0.10721667237932653</v>
      </c>
      <c r="E12" s="62">
        <f t="shared" si="0"/>
        <v>0.21567657378738175</v>
      </c>
      <c r="F12" s="63">
        <f>COUNT(Cap3_Ficha_Promedio!D36:I36)-2</f>
        <v>4</v>
      </c>
      <c r="G12" s="64">
        <f t="shared" si="1"/>
        <v>0.83979124149418327</v>
      </c>
      <c r="H12" s="18" t="str">
        <f t="shared" si="2"/>
        <v>Débil</v>
      </c>
      <c r="I12" s="18" t="str">
        <f t="shared" si="3"/>
        <v>No se rechaza H0</v>
      </c>
    </row>
    <row r="13" spans="1:9" x14ac:dyDescent="0.2">
      <c r="A13" s="60" t="s">
        <v>311</v>
      </c>
      <c r="B13" s="60" t="s">
        <v>292</v>
      </c>
      <c r="C13" s="60" t="s">
        <v>294</v>
      </c>
      <c r="D13" s="61">
        <f>PEARSON(Cap3_Ficha_Promedio!D36:I36,Cap3_Ficha_Promedio!D39:I39)</f>
        <v>1.518813190774918E-2</v>
      </c>
      <c r="E13" s="62">
        <f t="shared" si="0"/>
        <v>3.0379768010178092E-2</v>
      </c>
      <c r="F13" s="63">
        <f>COUNT(Cap3_Ficha_Promedio!D36:I36)-2</f>
        <v>4</v>
      </c>
      <c r="G13" s="64">
        <f t="shared" si="1"/>
        <v>0.97721955393258075</v>
      </c>
      <c r="H13" s="18" t="str">
        <f t="shared" si="2"/>
        <v>Trivial/nula</v>
      </c>
      <c r="I13" s="18" t="str">
        <f t="shared" si="3"/>
        <v>No se rechaza H0</v>
      </c>
    </row>
    <row r="15" spans="1:9" x14ac:dyDescent="0.2">
      <c r="A15" s="2" t="s">
        <v>312</v>
      </c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2" t="s">
        <v>313</v>
      </c>
      <c r="B16" s="2"/>
      <c r="C16" s="2"/>
      <c r="D16" s="2"/>
      <c r="E16" s="2"/>
      <c r="F16" s="2"/>
      <c r="G16" s="2"/>
      <c r="H16" s="2"/>
      <c r="I16" s="2"/>
    </row>
  </sheetData>
  <mergeCells count="5">
    <mergeCell ref="A1:I1"/>
    <mergeCell ref="A2:I2"/>
    <mergeCell ref="A3:I3"/>
    <mergeCell ref="A15:I15"/>
    <mergeCell ref="A16:I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Portada</vt:lpstr>
      <vt:lpstr>ESF</vt:lpstr>
      <vt:lpstr>ERI</vt:lpstr>
      <vt:lpstr>ECP</vt:lpstr>
      <vt:lpstr>EFE</vt:lpstr>
      <vt:lpstr>Ratios</vt:lpstr>
      <vt:lpstr>Cap3_Base2019</vt:lpstr>
      <vt:lpstr>Cap3_Ficha_Promedio</vt:lpstr>
      <vt:lpstr>Cap3_Ficha_Cierre</vt:lpstr>
      <vt:lpstr>Cap3_Descriptivos</vt:lpstr>
      <vt:lpstr>Cap3_Normalidad</vt:lpstr>
      <vt:lpstr>Cap3_Correlaciones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Eder Cedano Bustos</cp:lastModifiedBy>
  <cp:revision>0</cp:revision>
  <dcterms:created xsi:type="dcterms:W3CDTF">2026-09-08T20:36:36Z</dcterms:created>
  <dcterms:modified xsi:type="dcterms:W3CDTF">2026-09-08T23:50:12Z</dcterms:modified>
  <dc:language>en-US</dc:language>
</cp:coreProperties>
</file>